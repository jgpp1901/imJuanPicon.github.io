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germanpp/Desktop/YorkU Files/Y3/Sem5/ADMS4504/Assignment 2/"/>
    </mc:Choice>
  </mc:AlternateContent>
  <xr:revisionPtr revIDLastSave="0" documentId="13_ncr:1_{FCC43BF8-32A7-8049-A983-2A8BCDD7DC12}" xr6:coauthVersionLast="47" xr6:coauthVersionMax="47" xr10:uidLastSave="{00000000-0000-0000-0000-000000000000}"/>
  <bookViews>
    <workbookView xWindow="12920" yWindow="500" windowWidth="15260" windowHeight="16280" activeTab="2" xr2:uid="{C4BC7505-FB04-0D45-B2D5-7C7CA2472E22}"/>
  </bookViews>
  <sheets>
    <sheet name="Q1" sheetId="4" r:id="rId1"/>
    <sheet name="Q2" sheetId="2" r:id="rId2"/>
    <sheet name="Q3" sheetId="3" r:id="rId3"/>
    <sheet name="Q4" sheetId="1" r:id="rId4"/>
  </sheets>
  <definedNames>
    <definedName name="solver_adj" localSheetId="0" hidden="1">'Q1'!$Y$118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'Q1'!$W$102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8" i="3" l="1"/>
  <c r="Q88" i="3"/>
  <c r="Q89" i="3"/>
  <c r="Q91" i="3"/>
  <c r="X60" i="3"/>
  <c r="Y60" i="3"/>
  <c r="N60" i="3"/>
  <c r="Q8" i="3"/>
  <c r="P7" i="3"/>
  <c r="P6" i="3"/>
  <c r="L6" i="3"/>
  <c r="L5" i="3"/>
  <c r="L4" i="3"/>
  <c r="O4" i="3" s="1"/>
  <c r="M4" i="3"/>
  <c r="J4" i="3"/>
  <c r="P4" i="3" l="1"/>
  <c r="Q4" i="3" s="1"/>
  <c r="J5" i="3" s="1"/>
  <c r="K8" i="3" l="1"/>
  <c r="K4" i="3" l="1"/>
  <c r="O98" i="2"/>
  <c r="O117" i="2"/>
  <c r="O118" i="2"/>
  <c r="H99" i="2"/>
  <c r="H98" i="2"/>
  <c r="I57" i="2"/>
  <c r="L54" i="2"/>
  <c r="K54" i="2"/>
  <c r="H100" i="2"/>
  <c r="L37" i="4"/>
  <c r="L40" i="4"/>
  <c r="E9" i="4"/>
  <c r="E10" i="4"/>
  <c r="F10" i="4"/>
  <c r="E8" i="4"/>
  <c r="Y66" i="1"/>
  <c r="N4" i="3"/>
  <c r="AD66" i="1"/>
  <c r="N36" i="4" l="1"/>
  <c r="R36" i="4"/>
  <c r="X24" i="1" l="1"/>
  <c r="N69" i="1"/>
  <c r="O69" i="1" s="1"/>
  <c r="N73" i="1"/>
  <c r="O73" i="1" s="1"/>
  <c r="N70" i="1"/>
  <c r="O70" i="1" s="1"/>
  <c r="N71" i="1"/>
  <c r="O71" i="1" s="1"/>
  <c r="N72" i="1"/>
  <c r="O72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P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P162" i="1" s="1"/>
  <c r="N163" i="1"/>
  <c r="O163" i="1" s="1"/>
  <c r="N164" i="1"/>
  <c r="O164" i="1" s="1"/>
  <c r="N165" i="1"/>
  <c r="O165" i="1" s="1"/>
  <c r="N68" i="1"/>
  <c r="O68" i="1" s="1"/>
  <c r="N67" i="1"/>
  <c r="O67" i="1" s="1"/>
  <c r="N66" i="1"/>
  <c r="O66" i="1" s="1"/>
  <c r="K73" i="1"/>
  <c r="J73" i="1"/>
  <c r="I73" i="1"/>
  <c r="H73" i="1"/>
  <c r="K72" i="1"/>
  <c r="J72" i="1"/>
  <c r="I72" i="1"/>
  <c r="H72" i="1"/>
  <c r="K71" i="1"/>
  <c r="J71" i="1"/>
  <c r="I71" i="1"/>
  <c r="H71" i="1"/>
  <c r="K70" i="1"/>
  <c r="J70" i="1"/>
  <c r="I70" i="1"/>
  <c r="H70" i="1"/>
  <c r="K69" i="1"/>
  <c r="J69" i="1"/>
  <c r="I69" i="1"/>
  <c r="H69" i="1"/>
  <c r="K68" i="1"/>
  <c r="J68" i="1"/>
  <c r="I68" i="1"/>
  <c r="H68" i="1"/>
  <c r="K67" i="1"/>
  <c r="J67" i="1"/>
  <c r="I67" i="1"/>
  <c r="H67" i="1"/>
  <c r="H66" i="1"/>
  <c r="K66" i="1"/>
  <c r="J66" i="1"/>
  <c r="I66" i="1"/>
  <c r="W34" i="1"/>
  <c r="W32" i="1"/>
  <c r="W31" i="1"/>
  <c r="W30" i="1"/>
  <c r="W28" i="1"/>
  <c r="W27" i="1"/>
  <c r="W26" i="1"/>
  <c r="W24" i="1"/>
  <c r="R163" i="1" l="1"/>
  <c r="U163" i="1" s="1"/>
  <c r="R75" i="1"/>
  <c r="U75" i="1" s="1"/>
  <c r="R95" i="1"/>
  <c r="U95" i="1" s="1"/>
  <c r="Q102" i="1"/>
  <c r="R159" i="1"/>
  <c r="U159" i="1" s="1"/>
  <c r="R73" i="1"/>
  <c r="U73" i="1" s="1"/>
  <c r="R139" i="1"/>
  <c r="U139" i="1" s="1"/>
  <c r="Q70" i="1"/>
  <c r="Q134" i="1"/>
  <c r="R127" i="1"/>
  <c r="U127" i="1" s="1"/>
  <c r="R111" i="1"/>
  <c r="U111" i="1" s="1"/>
  <c r="Q82" i="1"/>
  <c r="Q138" i="1"/>
  <c r="Q162" i="1"/>
  <c r="R137" i="1"/>
  <c r="U137" i="1" s="1"/>
  <c r="R99" i="1"/>
  <c r="U99" i="1" s="1"/>
  <c r="Q74" i="1"/>
  <c r="Q98" i="1"/>
  <c r="R153" i="1"/>
  <c r="U153" i="1" s="1"/>
  <c r="R151" i="1"/>
  <c r="U151" i="1" s="1"/>
  <c r="Q126" i="1"/>
  <c r="R89" i="1"/>
  <c r="U89" i="1" s="1"/>
  <c r="Q150" i="1"/>
  <c r="Q114" i="1"/>
  <c r="R87" i="1"/>
  <c r="U87" i="1" s="1"/>
  <c r="Q146" i="1"/>
  <c r="R113" i="1"/>
  <c r="U113" i="1" s="1"/>
  <c r="Q86" i="1"/>
  <c r="R123" i="1"/>
  <c r="U123" i="1" s="1"/>
  <c r="R161" i="1"/>
  <c r="U161" i="1" s="1"/>
  <c r="R147" i="1"/>
  <c r="U147" i="1" s="1"/>
  <c r="R135" i="1"/>
  <c r="U135" i="1" s="1"/>
  <c r="Q122" i="1"/>
  <c r="Q110" i="1"/>
  <c r="R97" i="1"/>
  <c r="U97" i="1" s="1"/>
  <c r="R83" i="1"/>
  <c r="U83" i="1" s="1"/>
  <c r="R72" i="1"/>
  <c r="U72" i="1" s="1"/>
  <c r="R121" i="1"/>
  <c r="U121" i="1" s="1"/>
  <c r="R107" i="1"/>
  <c r="U107" i="1" s="1"/>
  <c r="Q158" i="1"/>
  <c r="R145" i="1"/>
  <c r="U145" i="1" s="1"/>
  <c r="R131" i="1"/>
  <c r="U131" i="1" s="1"/>
  <c r="R119" i="1"/>
  <c r="U119" i="1" s="1"/>
  <c r="Q106" i="1"/>
  <c r="Q94" i="1"/>
  <c r="R81" i="1"/>
  <c r="U81" i="1" s="1"/>
  <c r="R67" i="1"/>
  <c r="U67" i="1" s="1"/>
  <c r="R155" i="1"/>
  <c r="U155" i="1" s="1"/>
  <c r="R143" i="1"/>
  <c r="U143" i="1" s="1"/>
  <c r="Q130" i="1"/>
  <c r="Q118" i="1"/>
  <c r="R105" i="1"/>
  <c r="U105" i="1" s="1"/>
  <c r="R91" i="1"/>
  <c r="U91" i="1" s="1"/>
  <c r="R79" i="1"/>
  <c r="U79" i="1" s="1"/>
  <c r="Q154" i="1"/>
  <c r="Q142" i="1"/>
  <c r="R129" i="1"/>
  <c r="U129" i="1" s="1"/>
  <c r="R115" i="1"/>
  <c r="U115" i="1" s="1"/>
  <c r="R103" i="1"/>
  <c r="U103" i="1" s="1"/>
  <c r="Q90" i="1"/>
  <c r="Q78" i="1"/>
  <c r="R162" i="1"/>
  <c r="U162" i="1" s="1"/>
  <c r="R158" i="1"/>
  <c r="U158" i="1" s="1"/>
  <c r="R154" i="1"/>
  <c r="U154" i="1" s="1"/>
  <c r="R150" i="1"/>
  <c r="U150" i="1" s="1"/>
  <c r="R146" i="1"/>
  <c r="U146" i="1" s="1"/>
  <c r="R142" i="1"/>
  <c r="U142" i="1" s="1"/>
  <c r="R138" i="1"/>
  <c r="U138" i="1" s="1"/>
  <c r="R134" i="1"/>
  <c r="U134" i="1" s="1"/>
  <c r="R130" i="1"/>
  <c r="U130" i="1" s="1"/>
  <c r="R126" i="1"/>
  <c r="U126" i="1" s="1"/>
  <c r="R122" i="1"/>
  <c r="U122" i="1" s="1"/>
  <c r="R118" i="1"/>
  <c r="U118" i="1" s="1"/>
  <c r="R114" i="1"/>
  <c r="U114" i="1" s="1"/>
  <c r="R110" i="1"/>
  <c r="U110" i="1" s="1"/>
  <c r="R106" i="1"/>
  <c r="U106" i="1" s="1"/>
  <c r="R102" i="1"/>
  <c r="U102" i="1" s="1"/>
  <c r="R98" i="1"/>
  <c r="U98" i="1" s="1"/>
  <c r="R94" i="1"/>
  <c r="U94" i="1" s="1"/>
  <c r="R90" i="1"/>
  <c r="U90" i="1" s="1"/>
  <c r="R86" i="1"/>
  <c r="U86" i="1" s="1"/>
  <c r="R82" i="1"/>
  <c r="U82" i="1" s="1"/>
  <c r="R78" i="1"/>
  <c r="U78" i="1" s="1"/>
  <c r="R74" i="1"/>
  <c r="U74" i="1" s="1"/>
  <c r="R70" i="1"/>
  <c r="U70" i="1" s="1"/>
  <c r="R165" i="1"/>
  <c r="U165" i="1" s="1"/>
  <c r="R157" i="1"/>
  <c r="U157" i="1" s="1"/>
  <c r="R149" i="1"/>
  <c r="U149" i="1" s="1"/>
  <c r="R141" i="1"/>
  <c r="U141" i="1" s="1"/>
  <c r="R133" i="1"/>
  <c r="U133" i="1" s="1"/>
  <c r="R125" i="1"/>
  <c r="U125" i="1" s="1"/>
  <c r="R117" i="1"/>
  <c r="U117" i="1" s="1"/>
  <c r="R109" i="1"/>
  <c r="U109" i="1" s="1"/>
  <c r="R101" i="1"/>
  <c r="U101" i="1" s="1"/>
  <c r="R93" i="1"/>
  <c r="U93" i="1" s="1"/>
  <c r="R85" i="1"/>
  <c r="U85" i="1" s="1"/>
  <c r="R77" i="1"/>
  <c r="U77" i="1" s="1"/>
  <c r="R69" i="1"/>
  <c r="U69" i="1" s="1"/>
  <c r="Q165" i="1"/>
  <c r="Q161" i="1"/>
  <c r="Q157" i="1"/>
  <c r="Q153" i="1"/>
  <c r="Q149" i="1"/>
  <c r="Q145" i="1"/>
  <c r="Q141" i="1"/>
  <c r="Q137" i="1"/>
  <c r="Q133" i="1"/>
  <c r="Q129" i="1"/>
  <c r="Q125" i="1"/>
  <c r="Q121" i="1"/>
  <c r="Q117" i="1"/>
  <c r="Q113" i="1"/>
  <c r="Q109" i="1"/>
  <c r="Q105" i="1"/>
  <c r="Q101" i="1"/>
  <c r="Q97" i="1"/>
  <c r="Q93" i="1"/>
  <c r="Q89" i="1"/>
  <c r="Q85" i="1"/>
  <c r="Q81" i="1"/>
  <c r="Q77" i="1"/>
  <c r="Q73" i="1"/>
  <c r="Q69" i="1"/>
  <c r="R164" i="1"/>
  <c r="U164" i="1" s="1"/>
  <c r="R160" i="1"/>
  <c r="U160" i="1" s="1"/>
  <c r="R156" i="1"/>
  <c r="U156" i="1" s="1"/>
  <c r="R152" i="1"/>
  <c r="U152" i="1" s="1"/>
  <c r="R148" i="1"/>
  <c r="U148" i="1" s="1"/>
  <c r="R144" i="1"/>
  <c r="U144" i="1" s="1"/>
  <c r="R140" i="1"/>
  <c r="U140" i="1" s="1"/>
  <c r="R136" i="1"/>
  <c r="U136" i="1" s="1"/>
  <c r="R132" i="1"/>
  <c r="U132" i="1" s="1"/>
  <c r="R128" i="1"/>
  <c r="U128" i="1" s="1"/>
  <c r="R124" i="1"/>
  <c r="U124" i="1" s="1"/>
  <c r="R120" i="1"/>
  <c r="U120" i="1" s="1"/>
  <c r="R116" i="1"/>
  <c r="U116" i="1" s="1"/>
  <c r="R112" i="1"/>
  <c r="U112" i="1" s="1"/>
  <c r="R108" i="1"/>
  <c r="U108" i="1" s="1"/>
  <c r="R104" i="1"/>
  <c r="U104" i="1" s="1"/>
  <c r="R100" i="1"/>
  <c r="U100" i="1" s="1"/>
  <c r="R96" i="1"/>
  <c r="U96" i="1" s="1"/>
  <c r="R92" i="1"/>
  <c r="U92" i="1" s="1"/>
  <c r="R88" i="1"/>
  <c r="U88" i="1" s="1"/>
  <c r="R84" i="1"/>
  <c r="U84" i="1" s="1"/>
  <c r="R80" i="1"/>
  <c r="U80" i="1" s="1"/>
  <c r="R76" i="1"/>
  <c r="U76" i="1" s="1"/>
  <c r="R68" i="1"/>
  <c r="U68" i="1" s="1"/>
  <c r="Q164" i="1"/>
  <c r="Q160" i="1"/>
  <c r="Q156" i="1"/>
  <c r="Q152" i="1"/>
  <c r="Q148" i="1"/>
  <c r="Q144" i="1"/>
  <c r="Q140" i="1"/>
  <c r="Q136" i="1"/>
  <c r="Q132" i="1"/>
  <c r="Q128" i="1"/>
  <c r="Q124" i="1"/>
  <c r="Q120" i="1"/>
  <c r="Q116" i="1"/>
  <c r="Q112" i="1"/>
  <c r="Q108" i="1"/>
  <c r="Q104" i="1"/>
  <c r="Q100" i="1"/>
  <c r="Q96" i="1"/>
  <c r="Q92" i="1"/>
  <c r="Q88" i="1"/>
  <c r="Q84" i="1"/>
  <c r="Q80" i="1"/>
  <c r="Q76" i="1"/>
  <c r="Q72" i="1"/>
  <c r="Q68" i="1"/>
  <c r="R71" i="1"/>
  <c r="U71" i="1" s="1"/>
  <c r="Q163" i="1"/>
  <c r="Q159" i="1"/>
  <c r="Q155" i="1"/>
  <c r="Q151" i="1"/>
  <c r="Q147" i="1"/>
  <c r="Q143" i="1"/>
  <c r="Q139" i="1"/>
  <c r="Q135" i="1"/>
  <c r="Q131" i="1"/>
  <c r="Q127" i="1"/>
  <c r="Q123" i="1"/>
  <c r="Q119" i="1"/>
  <c r="Q115" i="1"/>
  <c r="Q111" i="1"/>
  <c r="Q107" i="1"/>
  <c r="Q103" i="1"/>
  <c r="Q99" i="1"/>
  <c r="Q95" i="1"/>
  <c r="Q91" i="1"/>
  <c r="Q87" i="1"/>
  <c r="Q83" i="1"/>
  <c r="Q79" i="1"/>
  <c r="Q75" i="1"/>
  <c r="Q71" i="1"/>
  <c r="Q67" i="1"/>
  <c r="R66" i="1"/>
  <c r="U66" i="1" s="1"/>
  <c r="P142" i="1"/>
  <c r="P79" i="1"/>
  <c r="P158" i="1"/>
  <c r="P126" i="1"/>
  <c r="P94" i="1"/>
  <c r="P151" i="1"/>
  <c r="P119" i="1"/>
  <c r="P87" i="1"/>
  <c r="P150" i="1"/>
  <c r="P118" i="1"/>
  <c r="P86" i="1"/>
  <c r="P78" i="1"/>
  <c r="P143" i="1"/>
  <c r="P111" i="1"/>
  <c r="P110" i="1"/>
  <c r="S110" i="1" s="1"/>
  <c r="O82" i="1"/>
  <c r="P135" i="1"/>
  <c r="P103" i="1"/>
  <c r="P73" i="1"/>
  <c r="S73" i="1" s="1"/>
  <c r="P134" i="1"/>
  <c r="S134" i="1" s="1"/>
  <c r="P102" i="1"/>
  <c r="P70" i="1"/>
  <c r="P159" i="1"/>
  <c r="P127" i="1"/>
  <c r="P95" i="1"/>
  <c r="Q66" i="1"/>
  <c r="O162" i="1"/>
  <c r="P154" i="1"/>
  <c r="P146" i="1"/>
  <c r="S146" i="1" s="1"/>
  <c r="P138" i="1"/>
  <c r="P130" i="1"/>
  <c r="S130" i="1" s="1"/>
  <c r="P122" i="1"/>
  <c r="S122" i="1" s="1"/>
  <c r="P114" i="1"/>
  <c r="S114" i="1" s="1"/>
  <c r="P106" i="1"/>
  <c r="P98" i="1"/>
  <c r="S98" i="1" s="1"/>
  <c r="P90" i="1"/>
  <c r="P74" i="1"/>
  <c r="S74" i="1" s="1"/>
  <c r="P161" i="1"/>
  <c r="P153" i="1"/>
  <c r="P145" i="1"/>
  <c r="P137" i="1"/>
  <c r="P129" i="1"/>
  <c r="P121" i="1"/>
  <c r="P113" i="1"/>
  <c r="P105" i="1"/>
  <c r="P97" i="1"/>
  <c r="P89" i="1"/>
  <c r="P81" i="1"/>
  <c r="P160" i="1"/>
  <c r="P152" i="1"/>
  <c r="P144" i="1"/>
  <c r="P136" i="1"/>
  <c r="P128" i="1"/>
  <c r="P120" i="1"/>
  <c r="P112" i="1"/>
  <c r="P104" i="1"/>
  <c r="P96" i="1"/>
  <c r="P88" i="1"/>
  <c r="P80" i="1"/>
  <c r="P72" i="1"/>
  <c r="S72" i="1" s="1"/>
  <c r="P71" i="1"/>
  <c r="P165" i="1"/>
  <c r="P157" i="1"/>
  <c r="P149" i="1"/>
  <c r="P141" i="1"/>
  <c r="P133" i="1"/>
  <c r="P125" i="1"/>
  <c r="P117" i="1"/>
  <c r="P109" i="1"/>
  <c r="P101" i="1"/>
  <c r="P93" i="1"/>
  <c r="P85" i="1"/>
  <c r="P77" i="1"/>
  <c r="P69" i="1"/>
  <c r="P164" i="1"/>
  <c r="P156" i="1"/>
  <c r="P148" i="1"/>
  <c r="P140" i="1"/>
  <c r="P132" i="1"/>
  <c r="P124" i="1"/>
  <c r="P116" i="1"/>
  <c r="S116" i="1" s="1"/>
  <c r="P108" i="1"/>
  <c r="P100" i="1"/>
  <c r="P92" i="1"/>
  <c r="P84" i="1"/>
  <c r="P76" i="1"/>
  <c r="P68" i="1"/>
  <c r="P163" i="1"/>
  <c r="P155" i="1"/>
  <c r="S155" i="1" s="1"/>
  <c r="P147" i="1"/>
  <c r="P139" i="1"/>
  <c r="P131" i="1"/>
  <c r="P123" i="1"/>
  <c r="P115" i="1"/>
  <c r="P107" i="1"/>
  <c r="P99" i="1"/>
  <c r="P91" i="1"/>
  <c r="P83" i="1"/>
  <c r="P75" i="1"/>
  <c r="P67" i="1"/>
  <c r="P66" i="1"/>
  <c r="S66" i="1" s="1"/>
  <c r="S85" i="1" l="1"/>
  <c r="S138" i="1"/>
  <c r="S142" i="1"/>
  <c r="S136" i="1"/>
  <c r="S153" i="1"/>
  <c r="T66" i="1"/>
  <c r="S149" i="1"/>
  <c r="S83" i="1"/>
  <c r="S147" i="1"/>
  <c r="S108" i="1"/>
  <c r="S77" i="1"/>
  <c r="S141" i="1"/>
  <c r="S101" i="1"/>
  <c r="S105" i="1"/>
  <c r="S143" i="1"/>
  <c r="S112" i="1"/>
  <c r="S119" i="1"/>
  <c r="S151" i="1"/>
  <c r="S109" i="1"/>
  <c r="S80" i="1"/>
  <c r="S144" i="1"/>
  <c r="S89" i="1"/>
  <c r="S127" i="1"/>
  <c r="S129" i="1"/>
  <c r="S93" i="1"/>
  <c r="S157" i="1"/>
  <c r="S121" i="1"/>
  <c r="S91" i="1"/>
  <c r="S102" i="1"/>
  <c r="S145" i="1"/>
  <c r="S81" i="1"/>
  <c r="S84" i="1"/>
  <c r="S113" i="1"/>
  <c r="S70" i="1"/>
  <c r="S148" i="1"/>
  <c r="S158" i="1"/>
  <c r="S123" i="1"/>
  <c r="S95" i="1"/>
  <c r="S159" i="1"/>
  <c r="S120" i="1"/>
  <c r="S96" i="1"/>
  <c r="S160" i="1"/>
  <c r="S150" i="1"/>
  <c r="S99" i="1"/>
  <c r="S163" i="1"/>
  <c r="S128" i="1"/>
  <c r="S131" i="1"/>
  <c r="S117" i="1"/>
  <c r="S154" i="1"/>
  <c r="S78" i="1"/>
  <c r="S126" i="1"/>
  <c r="S165" i="1"/>
  <c r="S71" i="1"/>
  <c r="S100" i="1"/>
  <c r="S164" i="1"/>
  <c r="S86" i="1"/>
  <c r="S137" i="1"/>
  <c r="S67" i="1"/>
  <c r="S88" i="1"/>
  <c r="S152" i="1"/>
  <c r="S103" i="1"/>
  <c r="S79" i="1"/>
  <c r="S107" i="1"/>
  <c r="S68" i="1"/>
  <c r="S132" i="1"/>
  <c r="S92" i="1"/>
  <c r="S156" i="1"/>
  <c r="S115" i="1"/>
  <c r="S76" i="1"/>
  <c r="S140" i="1"/>
  <c r="S97" i="1"/>
  <c r="S161" i="1"/>
  <c r="S111" i="1"/>
  <c r="S125" i="1"/>
  <c r="S94" i="1"/>
  <c r="S90" i="1"/>
  <c r="S75" i="1"/>
  <c r="S133" i="1"/>
  <c r="S106" i="1"/>
  <c r="S118" i="1"/>
  <c r="S139" i="1"/>
  <c r="S69" i="1"/>
  <c r="S135" i="1"/>
  <c r="S124" i="1"/>
  <c r="S104" i="1"/>
  <c r="S87" i="1"/>
  <c r="S82" i="1"/>
  <c r="S162" i="1"/>
  <c r="T80" i="1"/>
  <c r="T144" i="1"/>
  <c r="T151" i="1"/>
  <c r="T119" i="1"/>
  <c r="T141" i="1"/>
  <c r="T117" i="1"/>
  <c r="T159" i="1"/>
  <c r="T139" i="1"/>
  <c r="T154" i="1"/>
  <c r="T113" i="1"/>
  <c r="T148" i="1"/>
  <c r="T123" i="1"/>
  <c r="T84" i="1"/>
  <c r="T70" i="1"/>
  <c r="T121" i="1"/>
  <c r="T162" i="1"/>
  <c r="T88" i="1"/>
  <c r="T152" i="1"/>
  <c r="T94" i="1"/>
  <c r="T91" i="1"/>
  <c r="T155" i="1"/>
  <c r="T116" i="1"/>
  <c r="T114" i="1"/>
  <c r="T81" i="1"/>
  <c r="T145" i="1"/>
  <c r="T96" i="1"/>
  <c r="T160" i="1"/>
  <c r="T134" i="1"/>
  <c r="T85" i="1"/>
  <c r="T149" i="1"/>
  <c r="T158" i="1"/>
  <c r="T68" i="1"/>
  <c r="T71" i="1"/>
  <c r="T128" i="1"/>
  <c r="T105" i="1"/>
  <c r="T127" i="1"/>
  <c r="T82" i="1"/>
  <c r="T87" i="1"/>
  <c r="T115" i="1"/>
  <c r="T109" i="1"/>
  <c r="T126" i="1"/>
  <c r="T138" i="1"/>
  <c r="T72" i="1"/>
  <c r="T136" i="1"/>
  <c r="T92" i="1"/>
  <c r="T156" i="1"/>
  <c r="T73" i="1"/>
  <c r="V73" i="1" s="1"/>
  <c r="T74" i="1"/>
  <c r="T111" i="1"/>
  <c r="T131" i="1"/>
  <c r="T100" i="1"/>
  <c r="T164" i="1"/>
  <c r="T125" i="1"/>
  <c r="T78" i="1"/>
  <c r="T142" i="1"/>
  <c r="V142" i="1" s="1"/>
  <c r="T90" i="1"/>
  <c r="T129" i="1"/>
  <c r="T143" i="1"/>
  <c r="T75" i="1"/>
  <c r="T108" i="1"/>
  <c r="T69" i="1"/>
  <c r="T133" i="1"/>
  <c r="T86" i="1"/>
  <c r="T150" i="1"/>
  <c r="T98" i="1"/>
  <c r="T137" i="1"/>
  <c r="T83" i="1"/>
  <c r="T147" i="1"/>
  <c r="T77" i="1"/>
  <c r="T106" i="1"/>
  <c r="T104" i="1"/>
  <c r="T124" i="1"/>
  <c r="T102" i="1"/>
  <c r="T67" i="1"/>
  <c r="T130" i="1"/>
  <c r="T112" i="1"/>
  <c r="T89" i="1"/>
  <c r="T153" i="1"/>
  <c r="T103" i="1"/>
  <c r="T79" i="1"/>
  <c r="T99" i="1"/>
  <c r="T163" i="1"/>
  <c r="T132" i="1"/>
  <c r="T93" i="1"/>
  <c r="T157" i="1"/>
  <c r="T110" i="1"/>
  <c r="V110" i="1" s="1"/>
  <c r="T146" i="1"/>
  <c r="V146" i="1" s="1"/>
  <c r="T120" i="1"/>
  <c r="T97" i="1"/>
  <c r="T161" i="1"/>
  <c r="T95" i="1"/>
  <c r="T135" i="1"/>
  <c r="T107" i="1"/>
  <c r="T76" i="1"/>
  <c r="T140" i="1"/>
  <c r="T101" i="1"/>
  <c r="T165" i="1"/>
  <c r="T118" i="1"/>
  <c r="T122" i="1"/>
  <c r="V76" i="1" l="1"/>
  <c r="V140" i="1"/>
  <c r="V115" i="1"/>
  <c r="V83" i="1"/>
  <c r="V147" i="1"/>
  <c r="V108" i="1"/>
  <c r="V125" i="1"/>
  <c r="V67" i="1"/>
  <c r="V69" i="1"/>
  <c r="V106" i="1"/>
  <c r="V98" i="1"/>
  <c r="V130" i="1"/>
  <c r="V156" i="1"/>
  <c r="V133" i="1"/>
  <c r="V100" i="1"/>
  <c r="V92" i="1"/>
  <c r="V90" i="1"/>
  <c r="V75" i="1"/>
  <c r="V77" i="1"/>
  <c r="V159" i="1"/>
  <c r="V85" i="1"/>
  <c r="V131" i="1"/>
  <c r="V81" i="1"/>
  <c r="V145" i="1"/>
  <c r="V162" i="1"/>
  <c r="V149" i="1"/>
  <c r="V102" i="1"/>
  <c r="V74" i="1"/>
  <c r="V88" i="1"/>
  <c r="V139" i="1"/>
  <c r="V141" i="1"/>
  <c r="V144" i="1"/>
  <c r="V80" i="1"/>
  <c r="V122" i="1"/>
  <c r="V151" i="1"/>
  <c r="V119" i="1"/>
  <c r="V164" i="1"/>
  <c r="V109" i="1"/>
  <c r="V117" i="1"/>
  <c r="V116" i="1"/>
  <c r="V138" i="1"/>
  <c r="V154" i="1"/>
  <c r="V134" i="1"/>
  <c r="V152" i="1"/>
  <c r="V123" i="1"/>
  <c r="V91" i="1"/>
  <c r="V99" i="1"/>
  <c r="V135" i="1"/>
  <c r="V120" i="1"/>
  <c r="V136" i="1"/>
  <c r="V160" i="1"/>
  <c r="V161" i="1"/>
  <c r="V124" i="1"/>
  <c r="V113" i="1"/>
  <c r="V68" i="1"/>
  <c r="V137" i="1"/>
  <c r="V96" i="1"/>
  <c r="V148" i="1"/>
  <c r="V155" i="1"/>
  <c r="V107" i="1"/>
  <c r="V163" i="1"/>
  <c r="V78" i="1"/>
  <c r="V118" i="1"/>
  <c r="V126" i="1"/>
  <c r="V143" i="1"/>
  <c r="V127" i="1"/>
  <c r="V157" i="1"/>
  <c r="V97" i="1"/>
  <c r="V103" i="1"/>
  <c r="V93" i="1"/>
  <c r="V129" i="1"/>
  <c r="V94" i="1"/>
  <c r="V105" i="1"/>
  <c r="V165" i="1"/>
  <c r="V111" i="1"/>
  <c r="V87" i="1"/>
  <c r="V128" i="1"/>
  <c r="V86" i="1"/>
  <c r="V150" i="1"/>
  <c r="V153" i="1"/>
  <c r="V84" i="1"/>
  <c r="V95" i="1"/>
  <c r="V101" i="1"/>
  <c r="V112" i="1"/>
  <c r="V72" i="1"/>
  <c r="V121" i="1"/>
  <c r="V70" i="1"/>
  <c r="V114" i="1"/>
  <c r="V89" i="1"/>
  <c r="V158" i="1"/>
  <c r="V79" i="1"/>
  <c r="V132" i="1"/>
  <c r="V104" i="1"/>
  <c r="V82" i="1"/>
  <c r="V71" i="1"/>
  <c r="V66" i="1"/>
  <c r="AB64" i="1" l="1"/>
  <c r="Y65" i="1"/>
  <c r="AB65" i="1"/>
  <c r="AB68" i="1" l="1"/>
  <c r="AB67" i="1"/>
  <c r="Y67" i="1"/>
  <c r="AC68" i="1" l="1"/>
  <c r="Q35" i="1"/>
  <c r="M46" i="1"/>
  <c r="M29" i="1" s="1"/>
  <c r="M35" i="1"/>
  <c r="Q46" i="1"/>
  <c r="Q41" i="1" s="1"/>
  <c r="O46" i="1"/>
  <c r="O32" i="1" s="1"/>
  <c r="K46" i="1"/>
  <c r="K31" i="1" s="1"/>
  <c r="C11" i="3"/>
  <c r="P91" i="3"/>
  <c r="P90" i="3"/>
  <c r="P88" i="3"/>
  <c r="U31" i="1" l="1"/>
  <c r="U30" i="1"/>
  <c r="U28" i="1"/>
  <c r="U27" i="1"/>
  <c r="X31" i="1"/>
  <c r="X30" i="1"/>
  <c r="X28" i="1"/>
  <c r="X27" i="1"/>
  <c r="V34" i="1"/>
  <c r="Q39" i="1"/>
  <c r="Q29" i="1"/>
  <c r="Q23" i="1"/>
  <c r="O38" i="1"/>
  <c r="U32" i="1" s="1"/>
  <c r="Q33" i="1"/>
  <c r="O36" i="1" s="1"/>
  <c r="V31" i="1"/>
  <c r="V32" i="1"/>
  <c r="V30" i="1"/>
  <c r="O26" i="1"/>
  <c r="Q21" i="1" l="1"/>
  <c r="V24" i="1"/>
  <c r="V28" i="1"/>
  <c r="V27" i="1"/>
  <c r="V26" i="1"/>
  <c r="Q27" i="1"/>
  <c r="O30" i="1" s="1"/>
  <c r="M33" i="1" s="1"/>
  <c r="X26" i="1"/>
  <c r="U26" i="1"/>
  <c r="U24" i="1"/>
  <c r="X34" i="1"/>
  <c r="X32" i="1"/>
  <c r="U34" i="1"/>
  <c r="X37" i="1" l="1"/>
  <c r="O24" i="1"/>
  <c r="M27" i="1" s="1"/>
  <c r="K30" i="1" s="1"/>
  <c r="N93" i="3" l="1"/>
  <c r="T60" i="3"/>
  <c r="W60" i="3"/>
  <c r="K5" i="3"/>
  <c r="K6" i="3"/>
  <c r="K7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D26" i="3"/>
  <c r="D25" i="3"/>
  <c r="C24" i="3"/>
  <c r="N37" i="4" l="1"/>
  <c r="P89" i="3"/>
  <c r="R60" i="3"/>
  <c r="U60" i="3"/>
  <c r="O60" i="3"/>
  <c r="L60" i="3"/>
  <c r="I60" i="3"/>
  <c r="C21" i="3"/>
  <c r="C8" i="3"/>
  <c r="K60" i="3" s="1"/>
  <c r="V60" i="3" l="1"/>
  <c r="K33" i="3" l="1"/>
  <c r="M60" i="3" l="1"/>
  <c r="J60" i="3"/>
  <c r="I61" i="3"/>
  <c r="L33" i="3"/>
  <c r="S60" i="3"/>
  <c r="P60" i="3"/>
  <c r="R4" i="3"/>
  <c r="J33" i="3" s="1"/>
  <c r="L61" i="3" l="1"/>
  <c r="M5" i="3"/>
  <c r="N5" i="3"/>
  <c r="K34" i="3" s="1"/>
  <c r="K61" i="3"/>
  <c r="O5" i="3" l="1"/>
  <c r="P5" i="3" s="1"/>
  <c r="Q5" i="3" s="1"/>
  <c r="L34" i="3" s="1"/>
  <c r="M61" i="3"/>
  <c r="L62" i="3" s="1"/>
  <c r="N61" i="3"/>
  <c r="R5" i="3"/>
  <c r="J34" i="3" s="1"/>
  <c r="O61" i="3" l="1"/>
  <c r="J61" i="3"/>
  <c r="I62" i="3" s="1"/>
  <c r="J6" i="3"/>
  <c r="P61" i="3"/>
  <c r="Q61" i="3"/>
  <c r="R61" i="3"/>
  <c r="T61" i="3" s="1"/>
  <c r="N62" i="3"/>
  <c r="K62" i="3"/>
  <c r="M6" i="3" l="1"/>
  <c r="N6" i="3"/>
  <c r="K35" i="3" s="1"/>
  <c r="S61" i="3"/>
  <c r="U61" i="3"/>
  <c r="X61" i="3" s="1"/>
  <c r="Y61" i="3" s="1"/>
  <c r="O6" i="3"/>
  <c r="Q6" i="3" s="1"/>
  <c r="J62" i="3" l="1"/>
  <c r="J7" i="3"/>
  <c r="L7" i="3" s="1"/>
  <c r="I63" i="3"/>
  <c r="L35" i="3"/>
  <c r="M62" i="3"/>
  <c r="O62" i="3"/>
  <c r="V61" i="3"/>
  <c r="W61" i="3"/>
  <c r="R6" i="3"/>
  <c r="J35" i="3" s="1"/>
  <c r="N7" i="3" l="1"/>
  <c r="K36" i="3" s="1"/>
  <c r="M7" i="3"/>
  <c r="O7" i="3"/>
  <c r="Q7" i="3" s="1"/>
  <c r="Q62" i="3"/>
  <c r="P62" i="3"/>
  <c r="L63" i="3"/>
  <c r="K63" i="3"/>
  <c r="R62" i="3"/>
  <c r="J63" i="3" l="1"/>
  <c r="I64" i="3" s="1"/>
  <c r="K64" i="3" s="1"/>
  <c r="O63" i="3"/>
  <c r="P63" i="3" s="1"/>
  <c r="R7" i="3"/>
  <c r="J36" i="3" s="1"/>
  <c r="L36" i="3"/>
  <c r="J8" i="3"/>
  <c r="S62" i="3"/>
  <c r="R63" i="3" s="1"/>
  <c r="T62" i="3"/>
  <c r="N63" i="3"/>
  <c r="M63" i="3"/>
  <c r="U62" i="3"/>
  <c r="Q63" i="3" l="1"/>
  <c r="S63" i="3"/>
  <c r="T63" i="3"/>
  <c r="N8" i="3"/>
  <c r="L8" i="3"/>
  <c r="M8" i="3"/>
  <c r="W62" i="3"/>
  <c r="V62" i="3"/>
  <c r="U63" i="3" s="1"/>
  <c r="L64" i="3"/>
  <c r="X62" i="3"/>
  <c r="Y62" i="3" s="1"/>
  <c r="O8" i="3" l="1"/>
  <c r="P8" i="3" s="1"/>
  <c r="J9" i="3" s="1"/>
  <c r="N9" i="3" s="1"/>
  <c r="K38" i="3" s="1"/>
  <c r="K37" i="3"/>
  <c r="R8" i="3"/>
  <c r="J37" i="3" s="1"/>
  <c r="M64" i="3"/>
  <c r="L65" i="3" s="1"/>
  <c r="N64" i="3"/>
  <c r="O64" i="3"/>
  <c r="W63" i="3"/>
  <c r="V63" i="3"/>
  <c r="X63" i="3"/>
  <c r="Y63" i="3" s="1"/>
  <c r="O22" i="2"/>
  <c r="I123" i="2"/>
  <c r="I109" i="2" s="1"/>
  <c r="I108" i="2" s="1"/>
  <c r="H101" i="2"/>
  <c r="O123" i="2"/>
  <c r="M123" i="2"/>
  <c r="K123" i="2"/>
  <c r="K112" i="2" s="1"/>
  <c r="K111" i="2" s="1"/>
  <c r="O84" i="2"/>
  <c r="M84" i="2"/>
  <c r="K84" i="2"/>
  <c r="I84" i="2"/>
  <c r="I69" i="2" s="1"/>
  <c r="I58" i="2"/>
  <c r="I59" i="2" s="1"/>
  <c r="O60" i="2" s="1"/>
  <c r="K34" i="2"/>
  <c r="K28" i="2"/>
  <c r="M37" i="2"/>
  <c r="M31" i="2"/>
  <c r="M25" i="2"/>
  <c r="Q25" i="2"/>
  <c r="Q31" i="2"/>
  <c r="Q37" i="2"/>
  <c r="Q43" i="2"/>
  <c r="O40" i="2"/>
  <c r="O34" i="2"/>
  <c r="O28" i="2"/>
  <c r="Q19" i="2"/>
  <c r="O46" i="2"/>
  <c r="M46" i="2"/>
  <c r="M76" i="2" s="1"/>
  <c r="M70" i="2" s="1"/>
  <c r="M64" i="2" s="1"/>
  <c r="K46" i="2"/>
  <c r="K73" i="2" s="1"/>
  <c r="K67" i="2" s="1"/>
  <c r="I46" i="2"/>
  <c r="I31" i="2" s="1"/>
  <c r="W157" i="4"/>
  <c r="Z172" i="4"/>
  <c r="AB170" i="4"/>
  <c r="AB176" i="4"/>
  <c r="AB164" i="4"/>
  <c r="AB158" i="4"/>
  <c r="Z161" i="4"/>
  <c r="X164" i="4"/>
  <c r="X170" i="4"/>
  <c r="Z173" i="4"/>
  <c r="Z167" i="4"/>
  <c r="AB175" i="4"/>
  <c r="AB169" i="4"/>
  <c r="AB163" i="4"/>
  <c r="AB157" i="4"/>
  <c r="Z166" i="4"/>
  <c r="Z160" i="4"/>
  <c r="X163" i="4"/>
  <c r="X169" i="4"/>
  <c r="J153" i="4"/>
  <c r="P158" i="4" s="1"/>
  <c r="P164" i="4"/>
  <c r="P176" i="4"/>
  <c r="P175" i="4"/>
  <c r="P169" i="4"/>
  <c r="N166" i="4"/>
  <c r="P163" i="4"/>
  <c r="P157" i="4"/>
  <c r="R178" i="4"/>
  <c r="R172" i="4"/>
  <c r="R166" i="4"/>
  <c r="R160" i="4"/>
  <c r="R154" i="4"/>
  <c r="N172" i="4"/>
  <c r="N160" i="4"/>
  <c r="L169" i="4"/>
  <c r="L163" i="4"/>
  <c r="G165" i="4"/>
  <c r="J181" i="4" s="1"/>
  <c r="G166" i="4"/>
  <c r="G167" i="4"/>
  <c r="G168" i="4"/>
  <c r="H168" i="4"/>
  <c r="H166" i="4"/>
  <c r="H167" i="4"/>
  <c r="H165" i="4"/>
  <c r="V181" i="4" s="1"/>
  <c r="V166" i="4" s="1"/>
  <c r="AD154" i="4"/>
  <c r="AD166" i="4"/>
  <c r="AD172" i="4"/>
  <c r="AD178" i="4"/>
  <c r="W156" i="4"/>
  <c r="P134" i="4"/>
  <c r="P128" i="4"/>
  <c r="P122" i="4"/>
  <c r="P116" i="4"/>
  <c r="N119" i="4"/>
  <c r="N131" i="4"/>
  <c r="N125" i="4"/>
  <c r="L122" i="4"/>
  <c r="L128" i="4"/>
  <c r="J139" i="4"/>
  <c r="J124" i="4" s="1"/>
  <c r="R136" i="4"/>
  <c r="P133" i="4"/>
  <c r="R130" i="4"/>
  <c r="N130" i="4"/>
  <c r="P127" i="4"/>
  <c r="L127" i="4"/>
  <c r="R124" i="4"/>
  <c r="N124" i="4"/>
  <c r="P121" i="4"/>
  <c r="L121" i="4"/>
  <c r="R118" i="4"/>
  <c r="N118" i="4"/>
  <c r="P115" i="4"/>
  <c r="R112" i="4"/>
  <c r="R72" i="4"/>
  <c r="R78" i="4"/>
  <c r="R84" i="4"/>
  <c r="R96" i="4"/>
  <c r="R90" i="4"/>
  <c r="P93" i="4"/>
  <c r="P87" i="4"/>
  <c r="P81" i="4"/>
  <c r="P75" i="4"/>
  <c r="N90" i="4"/>
  <c r="N84" i="4"/>
  <c r="N78" i="4"/>
  <c r="L87" i="4"/>
  <c r="L81" i="4"/>
  <c r="N79" i="4"/>
  <c r="P82" i="4"/>
  <c r="N85" i="4"/>
  <c r="P88" i="4"/>
  <c r="N91" i="4"/>
  <c r="P94" i="4"/>
  <c r="J99" i="4"/>
  <c r="J84" i="4" s="1"/>
  <c r="J57" i="4"/>
  <c r="L88" i="4"/>
  <c r="L82" i="4"/>
  <c r="P76" i="4"/>
  <c r="R54" i="4"/>
  <c r="R48" i="4"/>
  <c r="R42" i="4"/>
  <c r="R30" i="4"/>
  <c r="P34" i="4"/>
  <c r="P52" i="4"/>
  <c r="P46" i="4"/>
  <c r="P40" i="4"/>
  <c r="J42" i="4"/>
  <c r="L46" i="4"/>
  <c r="N49" i="4"/>
  <c r="N43" i="4"/>
  <c r="L39" i="4"/>
  <c r="P51" i="4"/>
  <c r="P45" i="4"/>
  <c r="P39" i="4"/>
  <c r="P33" i="4"/>
  <c r="N48" i="4"/>
  <c r="N42" i="4"/>
  <c r="L45" i="4"/>
  <c r="D8" i="4"/>
  <c r="M14" i="4"/>
  <c r="O9" i="4" a="1"/>
  <c r="O9" i="4" s="1"/>
  <c r="T9" i="4" s="1" a="1"/>
  <c r="T9" i="4" s="1"/>
  <c r="J17" i="4" s="1"/>
  <c r="L37" i="3" l="1"/>
  <c r="J64" i="3"/>
  <c r="I65" i="3" s="1"/>
  <c r="K65" i="3" s="1"/>
  <c r="O106" i="2"/>
  <c r="O100" i="2"/>
  <c r="O99" i="2" s="1"/>
  <c r="O41" i="2"/>
  <c r="O35" i="2" s="1"/>
  <c r="O29" i="2" s="1"/>
  <c r="O23" i="2" s="1"/>
  <c r="O79" i="2"/>
  <c r="P173" i="4"/>
  <c r="P174" i="4" s="1"/>
  <c r="L170" i="4"/>
  <c r="P31" i="4"/>
  <c r="P32" i="4" s="1"/>
  <c r="N173" i="4"/>
  <c r="N161" i="4"/>
  <c r="J166" i="4"/>
  <c r="N167" i="4"/>
  <c r="M9" i="3"/>
  <c r="L9" i="3"/>
  <c r="N65" i="3"/>
  <c r="P64" i="3"/>
  <c r="Q64" i="3"/>
  <c r="R64" i="3"/>
  <c r="U64" i="3" s="1"/>
  <c r="O112" i="2"/>
  <c r="O111" i="2" s="1"/>
  <c r="O110" i="2" s="1"/>
  <c r="O20" i="2"/>
  <c r="O21" i="2" s="1"/>
  <c r="O38" i="2"/>
  <c r="O39" i="2" s="1"/>
  <c r="O116" i="2"/>
  <c r="M113" i="2" s="1"/>
  <c r="M115" i="2"/>
  <c r="M114" i="2" s="1"/>
  <c r="M103" i="2"/>
  <c r="M102" i="2" s="1"/>
  <c r="M109" i="2"/>
  <c r="M108" i="2" s="1"/>
  <c r="K35" i="2"/>
  <c r="K29" i="2" s="1"/>
  <c r="K106" i="2"/>
  <c r="K105" i="2" s="1"/>
  <c r="O32" i="2"/>
  <c r="O73" i="2"/>
  <c r="O67" i="2" s="1"/>
  <c r="O61" i="2" s="1"/>
  <c r="O66" i="2"/>
  <c r="O72" i="2"/>
  <c r="I60" i="2"/>
  <c r="Q69" i="2" s="1"/>
  <c r="O78" i="2"/>
  <c r="M63" i="2"/>
  <c r="AB167" i="4"/>
  <c r="AB168" i="4" s="1"/>
  <c r="M69" i="2"/>
  <c r="L164" i="4"/>
  <c r="M75" i="2"/>
  <c r="K66" i="2"/>
  <c r="P170" i="4"/>
  <c r="P167" i="4" s="1"/>
  <c r="P168" i="4" s="1"/>
  <c r="M38" i="2"/>
  <c r="M32" i="2" s="1"/>
  <c r="M26" i="2" s="1"/>
  <c r="K72" i="2"/>
  <c r="AB173" i="4"/>
  <c r="AB174" i="4" s="1"/>
  <c r="P155" i="4"/>
  <c r="P156" i="4" s="1"/>
  <c r="P161" i="4"/>
  <c r="AD160" i="4"/>
  <c r="AB161" i="4" s="1"/>
  <c r="P79" i="4"/>
  <c r="P80" i="4" s="1"/>
  <c r="P73" i="4"/>
  <c r="P131" i="4"/>
  <c r="P132" i="4" s="1"/>
  <c r="P113" i="4"/>
  <c r="P114" i="4" s="1"/>
  <c r="P119" i="4"/>
  <c r="P120" i="4" s="1"/>
  <c r="N116" i="4" s="1"/>
  <c r="N117" i="4" s="1"/>
  <c r="P125" i="4"/>
  <c r="P126" i="4" s="1"/>
  <c r="P85" i="4"/>
  <c r="P91" i="4"/>
  <c r="P92" i="4" s="1"/>
  <c r="P43" i="4"/>
  <c r="P44" i="4" s="1"/>
  <c r="P37" i="4"/>
  <c r="P38" i="4" s="1"/>
  <c r="P49" i="4"/>
  <c r="P50" i="4" s="1"/>
  <c r="J15" i="4"/>
  <c r="M15" i="4" s="1"/>
  <c r="D9" i="4" s="1"/>
  <c r="J16" i="4"/>
  <c r="T11" i="4" a="1"/>
  <c r="T11" i="4" s="1"/>
  <c r="L17" i="4" s="1"/>
  <c r="T10" i="4" a="1"/>
  <c r="T10" i="4" s="1"/>
  <c r="T12" i="4" a="1"/>
  <c r="T12" i="4" s="1"/>
  <c r="O26" i="2" l="1"/>
  <c r="O27" i="2" s="1"/>
  <c r="O105" i="2"/>
  <c r="O104" i="2" s="1"/>
  <c r="M107" i="2" s="1"/>
  <c r="K110" i="2" s="1"/>
  <c r="O9" i="3"/>
  <c r="P9" i="3" s="1"/>
  <c r="Q9" i="3" s="1"/>
  <c r="L38" i="3" s="1"/>
  <c r="N34" i="4"/>
  <c r="N35" i="4" s="1"/>
  <c r="N170" i="4"/>
  <c r="N171" i="4" s="1"/>
  <c r="P74" i="4"/>
  <c r="N76" i="4" s="1"/>
  <c r="N77" i="4" s="1"/>
  <c r="P86" i="4"/>
  <c r="N82" i="4" s="1"/>
  <c r="N83" i="4" s="1"/>
  <c r="S64" i="3"/>
  <c r="T64" i="3"/>
  <c r="V64" i="3"/>
  <c r="W64" i="3"/>
  <c r="X64" i="3"/>
  <c r="Y64" i="3" s="1"/>
  <c r="M101" i="2"/>
  <c r="K104" i="2" s="1"/>
  <c r="I107" i="2" s="1"/>
  <c r="O33" i="2"/>
  <c r="M29" i="2" s="1"/>
  <c r="M30" i="2" s="1"/>
  <c r="M23" i="2"/>
  <c r="M24" i="2" s="1"/>
  <c r="K26" i="2" s="1"/>
  <c r="Q81" i="2"/>
  <c r="Q75" i="2"/>
  <c r="O70" i="2"/>
  <c r="Q63" i="2"/>
  <c r="O64" i="2" s="1"/>
  <c r="Q57" i="2"/>
  <c r="O58" i="2" s="1"/>
  <c r="N46" i="4"/>
  <c r="N47" i="4" s="1"/>
  <c r="Z170" i="4"/>
  <c r="Z171" i="4" s="1"/>
  <c r="AB162" i="4"/>
  <c r="Z164" i="4" s="1"/>
  <c r="Z165" i="4" s="1"/>
  <c r="AB155" i="4"/>
  <c r="P162" i="4"/>
  <c r="N164" i="4" s="1"/>
  <c r="N165" i="4" s="1"/>
  <c r="L167" i="4" s="1"/>
  <c r="L168" i="4" s="1"/>
  <c r="N122" i="4"/>
  <c r="N123" i="4" s="1"/>
  <c r="L119" i="4" s="1"/>
  <c r="L120" i="4" s="1"/>
  <c r="N128" i="4"/>
  <c r="N129" i="4" s="1"/>
  <c r="N40" i="4"/>
  <c r="N41" i="4" s="1"/>
  <c r="L38" i="4" s="1"/>
  <c r="K17" i="4"/>
  <c r="M17" i="4" s="1"/>
  <c r="D11" i="4" s="1"/>
  <c r="K16" i="4"/>
  <c r="M16" i="4" s="1"/>
  <c r="D10" i="4" s="1"/>
  <c r="J10" i="3" l="1"/>
  <c r="N10" i="3" s="1"/>
  <c r="M65" i="3"/>
  <c r="L66" i="3" s="1"/>
  <c r="N66" i="3" s="1"/>
  <c r="R9" i="3"/>
  <c r="J38" i="3" s="1"/>
  <c r="L10" i="3"/>
  <c r="M10" i="3"/>
  <c r="J65" i="3"/>
  <c r="I66" i="3" s="1"/>
  <c r="K66" i="3" s="1"/>
  <c r="O65" i="3"/>
  <c r="L79" i="4"/>
  <c r="L80" i="4" s="1"/>
  <c r="N88" i="4"/>
  <c r="N158" i="4"/>
  <c r="N89" i="4"/>
  <c r="L85" i="4" s="1"/>
  <c r="L86" i="4" s="1"/>
  <c r="J83" i="4" s="1"/>
  <c r="K39" i="3"/>
  <c r="M35" i="2"/>
  <c r="O59" i="2"/>
  <c r="K27" i="2"/>
  <c r="O76" i="2"/>
  <c r="O77" i="2" s="1"/>
  <c r="M36" i="2"/>
  <c r="K32" i="2" s="1"/>
  <c r="L43" i="4"/>
  <c r="L44" i="4" s="1"/>
  <c r="J41" i="4" s="1"/>
  <c r="O71" i="2"/>
  <c r="X167" i="4"/>
  <c r="X168" i="4" s="1"/>
  <c r="L125" i="4"/>
  <c r="L126" i="4" s="1"/>
  <c r="J123" i="4" s="1"/>
  <c r="J110" i="4" s="1"/>
  <c r="O65" i="2"/>
  <c r="M61" i="2" s="1"/>
  <c r="M62" i="2" s="1"/>
  <c r="AB156" i="4"/>
  <c r="Z158" i="4" s="1"/>
  <c r="N159" i="4"/>
  <c r="L161" i="4" s="1"/>
  <c r="L162" i="4" s="1"/>
  <c r="J165" i="4" s="1"/>
  <c r="J174" i="4" s="1"/>
  <c r="E11" i="4"/>
  <c r="O10" i="3" l="1"/>
  <c r="P10" i="3" s="1"/>
  <c r="Q10" i="3" s="1"/>
  <c r="P65" i="3"/>
  <c r="Q65" i="3"/>
  <c r="R65" i="3"/>
  <c r="J11" i="3"/>
  <c r="L39" i="3"/>
  <c r="M66" i="3"/>
  <c r="L67" i="3" s="1"/>
  <c r="M73" i="2"/>
  <c r="M74" i="2" s="1"/>
  <c r="K33" i="2"/>
  <c r="I30" i="2" s="1"/>
  <c r="M67" i="2"/>
  <c r="M68" i="2" s="1"/>
  <c r="K70" i="2" s="1"/>
  <c r="K71" i="2" s="1"/>
  <c r="Z159" i="4"/>
  <c r="X161" i="4" s="1"/>
  <c r="J152" i="4"/>
  <c r="O66" i="3" l="1"/>
  <c r="J66" i="3"/>
  <c r="I67" i="3" s="1"/>
  <c r="R10" i="3"/>
  <c r="J39" i="3" s="1"/>
  <c r="U65" i="3"/>
  <c r="S65" i="3"/>
  <c r="R66" i="3" s="1"/>
  <c r="T66" i="3" s="1"/>
  <c r="T65" i="3"/>
  <c r="X65" i="3"/>
  <c r="Y65" i="3" s="1"/>
  <c r="P66" i="3"/>
  <c r="Q66" i="3"/>
  <c r="N67" i="3"/>
  <c r="K67" i="3"/>
  <c r="M11" i="3"/>
  <c r="N11" i="3"/>
  <c r="L11" i="3"/>
  <c r="K64" i="2"/>
  <c r="X162" i="4"/>
  <c r="V165" i="4" s="1"/>
  <c r="J175" i="4" s="1"/>
  <c r="V65" i="3" l="1"/>
  <c r="W65" i="3"/>
  <c r="J177" i="4"/>
  <c r="J176" i="4"/>
  <c r="O11" i="3"/>
  <c r="P11" i="3" s="1"/>
  <c r="Q11" i="3" s="1"/>
  <c r="J67" i="3" s="1"/>
  <c r="I68" i="3" s="1"/>
  <c r="K40" i="3"/>
  <c r="R11" i="3"/>
  <c r="J40" i="3" s="1"/>
  <c r="S66" i="3"/>
  <c r="U66" i="3"/>
  <c r="K65" i="2"/>
  <c r="I68" i="2" s="1"/>
  <c r="J12" i="3" l="1"/>
  <c r="M67" i="3"/>
  <c r="L68" i="3" s="1"/>
  <c r="O67" i="3"/>
  <c r="Q67" i="3" s="1"/>
  <c r="L40" i="3"/>
  <c r="R67" i="3"/>
  <c r="S67" i="3" s="1"/>
  <c r="P67" i="3"/>
  <c r="V66" i="3"/>
  <c r="W66" i="3"/>
  <c r="X66" i="3"/>
  <c r="Y66" i="3" s="1"/>
  <c r="L12" i="3"/>
  <c r="M12" i="3"/>
  <c r="N12" i="3"/>
  <c r="N68" i="3"/>
  <c r="K68" i="3"/>
  <c r="T67" i="3" l="1"/>
  <c r="U67" i="3"/>
  <c r="X67" i="3" s="1"/>
  <c r="Y67" i="3" s="1"/>
  <c r="O12" i="3"/>
  <c r="P12" i="3" s="1"/>
  <c r="Q12" i="3" s="1"/>
  <c r="J68" i="3" s="1"/>
  <c r="V67" i="3"/>
  <c r="W67" i="3"/>
  <c r="K41" i="3"/>
  <c r="R12" i="3" l="1"/>
  <c r="J41" i="3" s="1"/>
  <c r="I69" i="3"/>
  <c r="L41" i="3"/>
  <c r="J13" i="3"/>
  <c r="O68" i="3"/>
  <c r="M68" i="3"/>
  <c r="L69" i="3" s="1"/>
  <c r="N69" i="3" l="1"/>
  <c r="P68" i="3"/>
  <c r="Q68" i="3"/>
  <c r="R68" i="3"/>
  <c r="T68" i="3" s="1"/>
  <c r="L13" i="3"/>
  <c r="M13" i="3"/>
  <c r="N13" i="3"/>
  <c r="K42" i="3" s="1"/>
  <c r="K69" i="3"/>
  <c r="S68" i="3" l="1"/>
  <c r="U68" i="3"/>
  <c r="O13" i="3"/>
  <c r="P13" i="3" s="1"/>
  <c r="Q13" i="3" s="1"/>
  <c r="J69" i="3" s="1"/>
  <c r="I70" i="3" l="1"/>
  <c r="L42" i="3"/>
  <c r="M69" i="3"/>
  <c r="L70" i="3" s="1"/>
  <c r="J14" i="3"/>
  <c r="O69" i="3"/>
  <c r="R13" i="3"/>
  <c r="J42" i="3" s="1"/>
  <c r="W68" i="3"/>
  <c r="V68" i="3"/>
  <c r="X68" i="3"/>
  <c r="Y68" i="3" s="1"/>
  <c r="P69" i="3" l="1"/>
  <c r="Q69" i="3"/>
  <c r="M14" i="3"/>
  <c r="N14" i="3"/>
  <c r="K43" i="3" s="1"/>
  <c r="L14" i="3"/>
  <c r="O14" i="3" s="1"/>
  <c r="P14" i="3" s="1"/>
  <c r="R69" i="3"/>
  <c r="N70" i="3"/>
  <c r="K70" i="3"/>
  <c r="S69" i="3" l="1"/>
  <c r="T69" i="3"/>
  <c r="Q14" i="3"/>
  <c r="J70" i="3" s="1"/>
  <c r="U69" i="3"/>
  <c r="J15" i="3"/>
  <c r="R14" i="3"/>
  <c r="J43" i="3" s="1"/>
  <c r="V69" i="3" l="1"/>
  <c r="W69" i="3"/>
  <c r="X69" i="3"/>
  <c r="Y69" i="3" s="1"/>
  <c r="L43" i="3"/>
  <c r="I71" i="3"/>
  <c r="M70" i="3"/>
  <c r="O70" i="3"/>
  <c r="N15" i="3"/>
  <c r="K44" i="3" s="1"/>
  <c r="L15" i="3"/>
  <c r="M15" i="3"/>
  <c r="P70" i="3" l="1"/>
  <c r="Q70" i="3"/>
  <c r="R70" i="3"/>
  <c r="K71" i="3"/>
  <c r="L71" i="3"/>
  <c r="O15" i="3"/>
  <c r="P15" i="3" s="1"/>
  <c r="Q15" i="3" s="1"/>
  <c r="J71" i="3" s="1"/>
  <c r="S70" i="3" l="1"/>
  <c r="T70" i="3"/>
  <c r="J16" i="3"/>
  <c r="N16" i="3" s="1"/>
  <c r="K45" i="3" s="1"/>
  <c r="I72" i="3"/>
  <c r="L44" i="3"/>
  <c r="U70" i="3"/>
  <c r="X70" i="3" s="1"/>
  <c r="Y70" i="3" s="1"/>
  <c r="O71" i="3"/>
  <c r="Q71" i="3" s="1"/>
  <c r="N71" i="3"/>
  <c r="M71" i="3"/>
  <c r="L72" i="3" s="1"/>
  <c r="R15" i="3"/>
  <c r="J44" i="3" s="1"/>
  <c r="M16" i="3" l="1"/>
  <c r="L16" i="3"/>
  <c r="O16" i="3" s="1"/>
  <c r="P16" i="3" s="1"/>
  <c r="Q16" i="3" s="1"/>
  <c r="R71" i="3"/>
  <c r="V70" i="3"/>
  <c r="W70" i="3"/>
  <c r="P71" i="3"/>
  <c r="K72" i="3"/>
  <c r="N72" i="3"/>
  <c r="U71" i="3" l="1"/>
  <c r="X71" i="3" s="1"/>
  <c r="Y71" i="3" s="1"/>
  <c r="J72" i="3"/>
  <c r="I73" i="3" s="1"/>
  <c r="K73" i="3" s="1"/>
  <c r="J17" i="3"/>
  <c r="M17" i="3" s="1"/>
  <c r="R16" i="3"/>
  <c r="J45" i="3" s="1"/>
  <c r="M72" i="3"/>
  <c r="L73" i="3" s="1"/>
  <c r="N73" i="3" s="1"/>
  <c r="L45" i="3"/>
  <c r="N17" i="3"/>
  <c r="K46" i="3" s="1"/>
  <c r="L17" i="3"/>
  <c r="O17" i="3" s="1"/>
  <c r="P17" i="3" s="1"/>
  <c r="Q17" i="3" s="1"/>
  <c r="S71" i="3"/>
  <c r="T71" i="3"/>
  <c r="O72" i="3"/>
  <c r="W71" i="3"/>
  <c r="V71" i="3"/>
  <c r="R72" i="3" l="1"/>
  <c r="U72" i="3" s="1"/>
  <c r="J73" i="3"/>
  <c r="I74" i="3" s="1"/>
  <c r="M73" i="3"/>
  <c r="L74" i="3" s="1"/>
  <c r="N74" i="3" s="1"/>
  <c r="S72" i="3"/>
  <c r="T72" i="3"/>
  <c r="J18" i="3"/>
  <c r="N18" i="3" s="1"/>
  <c r="K47" i="3" s="1"/>
  <c r="L46" i="3"/>
  <c r="P72" i="3"/>
  <c r="O73" i="3" s="1"/>
  <c r="Q72" i="3"/>
  <c r="R17" i="3"/>
  <c r="J46" i="3" s="1"/>
  <c r="W72" i="3" l="1"/>
  <c r="X72" i="3"/>
  <c r="Y72" i="3" s="1"/>
  <c r="V72" i="3"/>
  <c r="M18" i="3"/>
  <c r="R73" i="3"/>
  <c r="T73" i="3" s="1"/>
  <c r="L18" i="3"/>
  <c r="O18" i="3" s="1"/>
  <c r="P18" i="3" s="1"/>
  <c r="Q18" i="3" s="1"/>
  <c r="J74" i="3" s="1"/>
  <c r="Q73" i="3"/>
  <c r="P73" i="3"/>
  <c r="K74" i="3"/>
  <c r="U73" i="3" l="1"/>
  <c r="X73" i="3" s="1"/>
  <c r="Y73" i="3" s="1"/>
  <c r="S73" i="3"/>
  <c r="O74" i="3"/>
  <c r="P74" i="3" s="1"/>
  <c r="R74" i="3"/>
  <c r="L47" i="3"/>
  <c r="I75" i="3"/>
  <c r="M74" i="3"/>
  <c r="L75" i="3" s="1"/>
  <c r="W73" i="3"/>
  <c r="V73" i="3"/>
  <c r="J19" i="3"/>
  <c r="R18" i="3"/>
  <c r="J47" i="3" s="1"/>
  <c r="Q74" i="3" l="1"/>
  <c r="S74" i="3"/>
  <c r="T74" i="3"/>
  <c r="U74" i="3"/>
  <c r="N75" i="3"/>
  <c r="K75" i="3"/>
  <c r="N19" i="3"/>
  <c r="K48" i="3" s="1"/>
  <c r="L19" i="3"/>
  <c r="M19" i="3"/>
  <c r="V74" i="3" l="1"/>
  <c r="W74" i="3"/>
  <c r="X74" i="3"/>
  <c r="Y74" i="3" s="1"/>
  <c r="O19" i="3"/>
  <c r="P19" i="3" s="1"/>
  <c r="Q19" i="3" s="1"/>
  <c r="J20" i="3" l="1"/>
  <c r="J75" i="3"/>
  <c r="I76" i="3" s="1"/>
  <c r="R19" i="3"/>
  <c r="J48" i="3" s="1"/>
  <c r="L48" i="3"/>
  <c r="M75" i="3"/>
  <c r="L76" i="3" s="1"/>
  <c r="O75" i="3"/>
  <c r="N20" i="3"/>
  <c r="K49" i="3" s="1"/>
  <c r="L20" i="3"/>
  <c r="M20" i="3"/>
  <c r="O20" i="3" l="1"/>
  <c r="P20" i="3" s="1"/>
  <c r="Q20" i="3" s="1"/>
  <c r="J76" i="3" s="1"/>
  <c r="P75" i="3"/>
  <c r="Q75" i="3"/>
  <c r="R75" i="3"/>
  <c r="N76" i="3"/>
  <c r="K76" i="3"/>
  <c r="R20" i="3"/>
  <c r="J49" i="3" s="1"/>
  <c r="M76" i="3" l="1"/>
  <c r="L77" i="3" s="1"/>
  <c r="O76" i="3"/>
  <c r="Q76" i="3" s="1"/>
  <c r="U75" i="3"/>
  <c r="X75" i="3" s="1"/>
  <c r="Y75" i="3" s="1"/>
  <c r="T75" i="3"/>
  <c r="N77" i="3"/>
  <c r="V75" i="3"/>
  <c r="W75" i="3"/>
  <c r="S75" i="3"/>
  <c r="J21" i="3"/>
  <c r="I77" i="3"/>
  <c r="L49" i="3"/>
  <c r="P76" i="3" l="1"/>
  <c r="R76" i="3"/>
  <c r="T76" i="3" s="1"/>
  <c r="K77" i="3"/>
  <c r="N21" i="3"/>
  <c r="K50" i="3" s="1"/>
  <c r="L21" i="3"/>
  <c r="M21" i="3"/>
  <c r="O21" i="3" l="1"/>
  <c r="P21" i="3" s="1"/>
  <c r="Q21" i="3" s="1"/>
  <c r="J77" i="3" s="1"/>
  <c r="I78" i="3" s="1"/>
  <c r="S76" i="3"/>
  <c r="U76" i="3"/>
  <c r="X76" i="3" s="1"/>
  <c r="Y76" i="3" s="1"/>
  <c r="O77" i="3" l="1"/>
  <c r="R21" i="3"/>
  <c r="J50" i="3" s="1"/>
  <c r="M77" i="3"/>
  <c r="L78" i="3" s="1"/>
  <c r="N78" i="3" s="1"/>
  <c r="L50" i="3"/>
  <c r="J22" i="3"/>
  <c r="L22" i="3" s="1"/>
  <c r="Q77" i="3"/>
  <c r="P77" i="3"/>
  <c r="R77" i="3"/>
  <c r="K78" i="3"/>
  <c r="W76" i="3"/>
  <c r="V76" i="3"/>
  <c r="M22" i="3" l="1"/>
  <c r="N22" i="3"/>
  <c r="K51" i="3" s="1"/>
  <c r="U77" i="3"/>
  <c r="X77" i="3" s="1"/>
  <c r="Y77" i="3" s="1"/>
  <c r="S77" i="3"/>
  <c r="T77" i="3"/>
  <c r="O22" i="3"/>
  <c r="P22" i="3" s="1"/>
  <c r="Q22" i="3" s="1"/>
  <c r="R22" i="3" s="1"/>
  <c r="J51" i="3" s="1"/>
  <c r="V77" i="3"/>
  <c r="W77" i="3"/>
  <c r="L51" i="3" l="1"/>
  <c r="J23" i="3"/>
  <c r="L23" i="3" s="1"/>
  <c r="O78" i="3"/>
  <c r="M78" i="3"/>
  <c r="L79" i="3" s="1"/>
  <c r="N79" i="3" s="1"/>
  <c r="J78" i="3"/>
  <c r="I79" i="3" s="1"/>
  <c r="K79" i="3" s="1"/>
  <c r="Q78" i="3"/>
  <c r="P78" i="3"/>
  <c r="R78" i="3" l="1"/>
  <c r="T78" i="3" s="1"/>
  <c r="M23" i="3"/>
  <c r="O23" i="3" s="1"/>
  <c r="P23" i="3" s="1"/>
  <c r="Q23" i="3" s="1"/>
  <c r="J79" i="3" s="1"/>
  <c r="I80" i="3" s="1"/>
  <c r="N23" i="3"/>
  <c r="K52" i="3"/>
  <c r="U78" i="3" l="1"/>
  <c r="X78" i="3" s="1"/>
  <c r="Y78" i="3" s="1"/>
  <c r="S78" i="3"/>
  <c r="Q90" i="3" s="1"/>
  <c r="W78" i="3"/>
  <c r="V78" i="3"/>
  <c r="M79" i="3"/>
  <c r="L80" i="3" s="1"/>
  <c r="N80" i="3" s="1"/>
  <c r="R23" i="3"/>
  <c r="J52" i="3" s="1"/>
  <c r="L52" i="3"/>
  <c r="J24" i="3"/>
  <c r="N24" i="3" s="1"/>
  <c r="O79" i="3"/>
  <c r="K80" i="3"/>
  <c r="M24" i="3" l="1"/>
  <c r="L24" i="3"/>
  <c r="O24" i="3" s="1"/>
  <c r="P24" i="3" s="1"/>
  <c r="Q24" i="3" s="1"/>
  <c r="J80" i="3" s="1"/>
  <c r="P79" i="3"/>
  <c r="Q79" i="3"/>
  <c r="R79" i="3"/>
  <c r="K53" i="3"/>
  <c r="U79" i="3" l="1"/>
  <c r="S79" i="3"/>
  <c r="T79" i="3"/>
  <c r="X79" i="3"/>
  <c r="Y79" i="3" s="1"/>
  <c r="J25" i="3"/>
  <c r="L53" i="3"/>
  <c r="I81" i="3"/>
  <c r="O80" i="3"/>
  <c r="M80" i="3"/>
  <c r="L81" i="3" s="1"/>
  <c r="R24" i="3"/>
  <c r="J53" i="3" s="1"/>
  <c r="V79" i="3" l="1"/>
  <c r="W79" i="3"/>
  <c r="N81" i="3"/>
  <c r="P80" i="3"/>
  <c r="Q80" i="3"/>
  <c r="R80" i="3"/>
  <c r="K81" i="3"/>
  <c r="L25" i="3"/>
  <c r="N25" i="3"/>
  <c r="M25" i="3"/>
  <c r="U80" i="3" l="1"/>
  <c r="W80" i="3" s="1"/>
  <c r="T80" i="3"/>
  <c r="O25" i="3"/>
  <c r="P25" i="3" s="1"/>
  <c r="Q25" i="3" s="1"/>
  <c r="J81" i="3" s="1"/>
  <c r="K54" i="3"/>
  <c r="S80" i="3"/>
  <c r="X80" i="3" l="1"/>
  <c r="Y80" i="3" s="1"/>
  <c r="R25" i="3"/>
  <c r="J54" i="3" s="1"/>
  <c r="J26" i="3"/>
  <c r="L54" i="3"/>
  <c r="I82" i="3"/>
  <c r="M81" i="3"/>
  <c r="L82" i="3" s="1"/>
  <c r="O81" i="3"/>
  <c r="V80" i="3"/>
  <c r="P81" i="3" l="1"/>
  <c r="Q81" i="3"/>
  <c r="R81" i="3"/>
  <c r="N82" i="3"/>
  <c r="K82" i="3"/>
  <c r="M26" i="3"/>
  <c r="N26" i="3"/>
  <c r="L26" i="3"/>
  <c r="O26" i="3" s="1"/>
  <c r="P26" i="3" s="1"/>
  <c r="Q26" i="3" s="1"/>
  <c r="J82" i="3" s="1"/>
  <c r="U81" i="3" l="1"/>
  <c r="T81" i="3"/>
  <c r="I83" i="3"/>
  <c r="K83" i="3" s="1"/>
  <c r="L55" i="3"/>
  <c r="M82" i="3"/>
  <c r="L83" i="3" s="1"/>
  <c r="J27" i="3"/>
  <c r="K55" i="3"/>
  <c r="R26" i="3"/>
  <c r="J55" i="3" s="1"/>
  <c r="X81" i="3"/>
  <c r="Y81" i="3" s="1"/>
  <c r="O82" i="3"/>
  <c r="S81" i="3"/>
  <c r="R82" i="3" l="1"/>
  <c r="T82" i="3" s="1"/>
  <c r="V81" i="3"/>
  <c r="W81" i="3"/>
  <c r="S82" i="3"/>
  <c r="P82" i="3"/>
  <c r="Q82" i="3"/>
  <c r="U82" i="3"/>
  <c r="L27" i="3"/>
  <c r="N27" i="3"/>
  <c r="K56" i="3" s="1"/>
  <c r="K31" i="3" s="1"/>
  <c r="M27" i="3"/>
  <c r="N83" i="3"/>
  <c r="O27" i="3" l="1"/>
  <c r="P27" i="3" s="1"/>
  <c r="Q27" i="3" s="1"/>
  <c r="O83" i="3" s="1"/>
  <c r="R83" i="3" s="1"/>
  <c r="T83" i="3" s="1"/>
  <c r="W82" i="3"/>
  <c r="V82" i="3"/>
  <c r="X82" i="3"/>
  <c r="Y82" i="3" s="1"/>
  <c r="M83" i="3"/>
  <c r="J83" i="3" l="1"/>
  <c r="J29" i="3"/>
  <c r="Q93" i="3" s="1"/>
  <c r="L56" i="3"/>
  <c r="L31" i="3" s="1"/>
  <c r="R27" i="3"/>
  <c r="J56" i="3" s="1"/>
  <c r="J31" i="3" s="1"/>
  <c r="P44" i="3" s="1"/>
  <c r="U83" i="3"/>
  <c r="X83" i="3" s="1"/>
  <c r="Y83" i="3" s="1"/>
  <c r="P83" i="3"/>
  <c r="Q83" i="3"/>
  <c r="S83" i="3"/>
  <c r="P45" i="3" l="1"/>
  <c r="R44" i="3" s="1"/>
  <c r="V83" i="3"/>
  <c r="W83" i="3"/>
  <c r="Q60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<sst xmlns="http://schemas.openxmlformats.org/spreadsheetml/2006/main" count="271" uniqueCount="158">
  <si>
    <t>Maturity (years)</t>
  </si>
  <si>
    <t>Par YTM</t>
  </si>
  <si>
    <t xml:space="preserve">FV </t>
  </si>
  <si>
    <t>Coupon Frequency</t>
  </si>
  <si>
    <t>Annual</t>
  </si>
  <si>
    <t>Volatility</t>
  </si>
  <si>
    <t>Putable Bond</t>
  </si>
  <si>
    <t>Price</t>
  </si>
  <si>
    <t>cpn</t>
  </si>
  <si>
    <t>Put scehdule</t>
  </si>
  <si>
    <t>1 year</t>
  </si>
  <si>
    <t>2 year</t>
  </si>
  <si>
    <t>3 year</t>
  </si>
  <si>
    <t>Today</t>
  </si>
  <si>
    <t>Year 1</t>
  </si>
  <si>
    <t>Year 2</t>
  </si>
  <si>
    <t>Year 3</t>
  </si>
  <si>
    <t>Year 4</t>
  </si>
  <si>
    <t xml:space="preserve">Spot rate </t>
  </si>
  <si>
    <t>Fwd Rate</t>
  </si>
  <si>
    <t xml:space="preserve">1) </t>
  </si>
  <si>
    <t>Cashflow matrix</t>
  </si>
  <si>
    <t>Discount FX</t>
  </si>
  <si>
    <t>Cpn</t>
  </si>
  <si>
    <t>Part A)</t>
  </si>
  <si>
    <t>Part B)</t>
  </si>
  <si>
    <t>Price Putable Bond</t>
  </si>
  <si>
    <t>Calibrate the binomial tree</t>
  </si>
  <si>
    <t>Part C)</t>
  </si>
  <si>
    <t xml:space="preserve">Compute OAS of the putable bond </t>
  </si>
  <si>
    <t>Putable Mkt price</t>
  </si>
  <si>
    <t>Difference</t>
  </si>
  <si>
    <t>OAS</t>
  </si>
  <si>
    <t>bps</t>
  </si>
  <si>
    <t>Part D)</t>
  </si>
  <si>
    <t>Compute effective Duration and Convexity</t>
  </si>
  <si>
    <t>V0</t>
  </si>
  <si>
    <t>V+</t>
  </si>
  <si>
    <t>V-</t>
  </si>
  <si>
    <t>Effective convexity</t>
  </si>
  <si>
    <t xml:space="preserve">Effective Duration </t>
  </si>
  <si>
    <t xml:space="preserve">Recalibration using a +20bps shock in yield </t>
  </si>
  <si>
    <t xml:space="preserve"> +20ps</t>
  </si>
  <si>
    <t xml:space="preserve"> -20bps</t>
  </si>
  <si>
    <t>Q2.</t>
  </si>
  <si>
    <t xml:space="preserve">Binomial Tree and embedded options </t>
  </si>
  <si>
    <t>Coupon frequency</t>
  </si>
  <si>
    <t>Par Value</t>
  </si>
  <si>
    <t>R</t>
  </si>
  <si>
    <t>R1,L</t>
  </si>
  <si>
    <t xml:space="preserve">1 year Forward rate </t>
  </si>
  <si>
    <t>R2,LL</t>
  </si>
  <si>
    <t>Periods</t>
  </si>
  <si>
    <t>Option</t>
  </si>
  <si>
    <t>Callable</t>
  </si>
  <si>
    <t xml:space="preserve">Cpn </t>
  </si>
  <si>
    <t>Call schedule</t>
  </si>
  <si>
    <t>4 years</t>
  </si>
  <si>
    <t xml:space="preserve">Price Callable bond </t>
  </si>
  <si>
    <t>Price Callable bond</t>
  </si>
  <si>
    <t>Cpn Rate</t>
  </si>
  <si>
    <t xml:space="preserve">Call schedule </t>
  </si>
  <si>
    <t>R3,LLL</t>
  </si>
  <si>
    <t>Price Floating Rate Note</t>
  </si>
  <si>
    <t>Annual Cpn</t>
  </si>
  <si>
    <t xml:space="preserve">Cap </t>
  </si>
  <si>
    <t>Floor</t>
  </si>
  <si>
    <t>Question 3</t>
  </si>
  <si>
    <t>Passthrough and CMO</t>
  </si>
  <si>
    <t>Par amount</t>
  </si>
  <si>
    <t>WAC</t>
  </si>
  <si>
    <t>Service fee</t>
  </si>
  <si>
    <t>Net Int</t>
  </si>
  <si>
    <t>WAM</t>
  </si>
  <si>
    <t>months</t>
  </si>
  <si>
    <t>Tranches</t>
  </si>
  <si>
    <t>A</t>
  </si>
  <si>
    <t>B</t>
  </si>
  <si>
    <t>C</t>
  </si>
  <si>
    <t>D</t>
  </si>
  <si>
    <t>IO</t>
  </si>
  <si>
    <t>PSA</t>
  </si>
  <si>
    <t>Balance</t>
  </si>
  <si>
    <t>Net Interest</t>
  </si>
  <si>
    <t>Total Principal</t>
  </si>
  <si>
    <t>PMT</t>
  </si>
  <si>
    <t>CPR</t>
  </si>
  <si>
    <t xml:space="preserve">Months from now </t>
  </si>
  <si>
    <t xml:space="preserve">Months seasoned </t>
  </si>
  <si>
    <t xml:space="preserve">outstanding balance </t>
  </si>
  <si>
    <t>SMM</t>
  </si>
  <si>
    <t>mortgage pmt</t>
  </si>
  <si>
    <t>mortgage int.</t>
  </si>
  <si>
    <t>schedule principal</t>
  </si>
  <si>
    <t>Prepayment</t>
  </si>
  <si>
    <t>cash flow</t>
  </si>
  <si>
    <t>Macaulay Duration</t>
  </si>
  <si>
    <t>Yield</t>
  </si>
  <si>
    <t>Avg Life</t>
  </si>
  <si>
    <t>PV(CF)</t>
  </si>
  <si>
    <t>PV (Pnc)</t>
  </si>
  <si>
    <t>PV (Int)</t>
  </si>
  <si>
    <t xml:space="preserve"> =</t>
  </si>
  <si>
    <t>years</t>
  </si>
  <si>
    <t>Month</t>
  </si>
  <si>
    <t>Principal</t>
  </si>
  <si>
    <t>Interest</t>
  </si>
  <si>
    <t>Tranche A</t>
  </si>
  <si>
    <t>Tranche B</t>
  </si>
  <si>
    <t>Tranche C</t>
  </si>
  <si>
    <t>Tranche D</t>
  </si>
  <si>
    <t>Tranche IO</t>
  </si>
  <si>
    <t>Excess interest</t>
  </si>
  <si>
    <t>Total</t>
  </si>
  <si>
    <t>Collateral</t>
  </si>
  <si>
    <t>Question 4</t>
  </si>
  <si>
    <t>Monte Carlo Simulation on a Tree</t>
  </si>
  <si>
    <t>1-year Forward rate</t>
  </si>
  <si>
    <t>r0</t>
  </si>
  <si>
    <t>r1,L</t>
  </si>
  <si>
    <t>r2,LL</t>
  </si>
  <si>
    <t>r3,LLL</t>
  </si>
  <si>
    <t>Price European Option</t>
  </si>
  <si>
    <t>Recalibration shocking yield curve by -25bps</t>
  </si>
  <si>
    <t>CPR mo´s 1</t>
  </si>
  <si>
    <t>CPR adjusted PSA</t>
  </si>
  <si>
    <t>Path</t>
  </si>
  <si>
    <t>Average</t>
  </si>
  <si>
    <t>Payoff</t>
  </si>
  <si>
    <t>Prob</t>
  </si>
  <si>
    <t>Disc Fx</t>
  </si>
  <si>
    <t>uuu</t>
  </si>
  <si>
    <t>uud</t>
  </si>
  <si>
    <t>udu</t>
  </si>
  <si>
    <t>duu</t>
  </si>
  <si>
    <t>udd</t>
  </si>
  <si>
    <t>dud</t>
  </si>
  <si>
    <t>ddu</t>
  </si>
  <si>
    <t>ddd</t>
  </si>
  <si>
    <t>Different Paths on a 3-step IR Tree</t>
  </si>
  <si>
    <t>Paths</t>
  </si>
  <si>
    <t>Rate 0</t>
  </si>
  <si>
    <t>Rate 1</t>
  </si>
  <si>
    <t>Rate 2</t>
  </si>
  <si>
    <t>Rate 3</t>
  </si>
  <si>
    <t>Simulation</t>
  </si>
  <si>
    <t>Random</t>
  </si>
  <si>
    <t>Disc Payoff</t>
  </si>
  <si>
    <t>MC price</t>
  </si>
  <si>
    <t>True Price</t>
  </si>
  <si>
    <t>Abs Error</t>
  </si>
  <si>
    <t>Std Error</t>
  </si>
  <si>
    <t>Confidence Lvl</t>
  </si>
  <si>
    <t>Lower bound</t>
  </si>
  <si>
    <t xml:space="preserve">Upper Bound </t>
  </si>
  <si>
    <t>Number of Paths</t>
  </si>
  <si>
    <t>Std dev</t>
  </si>
  <si>
    <t>Z-value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</si>
</sst>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0.0000%"/>
    <numFmt numFmtId="166" formatCode="0.000%"/>
    <numFmt numFmtId="167" formatCode="_(&quot;$&quot;* #,##0.0000_);_(&quot;$&quot;* \(#,##0.0000\);_(&quot;$&quot;* &quot;-&quot;??_);_(@_)"/>
    <numFmt numFmtId="168" formatCode="_(* #,##0_);_(* \(#,##0\);_(* &quot;-&quot;??_);_(@_)"/>
    <numFmt numFmtId="169" formatCode="_(* #,##0.00000_);_(* \(#,##0.00000\);_(* &quot;-&quot;??_);_(@_)"/>
    <numFmt numFmtId="170" formatCode="0.00000%"/>
    <numFmt numFmtId="171" formatCode="0.000000"/>
    <numFmt numFmtId="172" formatCode="_(&quot;$&quot;* #,##0_);_(&quot;$&quot;* \(#,##0\);_(&quot;$&quot;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FF0000"/>
      <name val="Aptos Narrow"/>
      <scheme val="minor"/>
    </font>
    <font>
      <sz val="8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/>
    <xf numFmtId="8" fontId="0" fillId="0" borderId="0" xfId="0" applyNumberFormat="1"/>
    <xf numFmtId="0" fontId="0" fillId="0" borderId="1" xfId="0" applyBorder="1"/>
    <xf numFmtId="0" fontId="3" fillId="0" borderId="0" xfId="0" applyFont="1"/>
    <xf numFmtId="0" fontId="0" fillId="0" borderId="2" xfId="0" applyBorder="1"/>
    <xf numFmtId="0" fontId="4" fillId="0" borderId="0" xfId="0" applyFont="1"/>
    <xf numFmtId="0" fontId="4" fillId="0" borderId="3" xfId="0" applyFont="1" applyBorder="1"/>
    <xf numFmtId="0" fontId="0" fillId="0" borderId="4" xfId="0" applyBorder="1"/>
    <xf numFmtId="165" fontId="0" fillId="0" borderId="4" xfId="2" applyNumberFormat="1" applyFont="1" applyBorder="1"/>
    <xf numFmtId="164" fontId="2" fillId="0" borderId="3" xfId="0" applyNumberFormat="1" applyFont="1" applyBorder="1"/>
    <xf numFmtId="165" fontId="0" fillId="0" borderId="4" xfId="0" applyNumberFormat="1" applyBorder="1"/>
    <xf numFmtId="164" fontId="0" fillId="2" borderId="2" xfId="0" applyNumberFormat="1" applyFill="1" applyBorder="1"/>
    <xf numFmtId="10" fontId="0" fillId="0" borderId="4" xfId="2" applyNumberFormat="1" applyFont="1" applyBorder="1"/>
    <xf numFmtId="165" fontId="0" fillId="3" borderId="4" xfId="0" applyNumberFormat="1" applyFill="1" applyBorder="1"/>
    <xf numFmtId="165" fontId="6" fillId="3" borderId="4" xfId="0" applyNumberFormat="1" applyFont="1" applyFill="1" applyBorder="1"/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165" fontId="0" fillId="0" borderId="0" xfId="2" applyNumberFormat="1" applyFont="1"/>
    <xf numFmtId="0" fontId="0" fillId="8" borderId="0" xfId="0" applyFill="1"/>
    <xf numFmtId="165" fontId="0" fillId="0" borderId="0" xfId="0" applyNumberFormat="1"/>
    <xf numFmtId="0" fontId="3" fillId="0" borderId="1" xfId="0" applyFont="1" applyBorder="1"/>
    <xf numFmtId="164" fontId="3" fillId="2" borderId="2" xfId="0" applyNumberFormat="1" applyFont="1" applyFill="1" applyBorder="1"/>
    <xf numFmtId="164" fontId="0" fillId="0" borderId="0" xfId="0" applyNumberFormat="1"/>
    <xf numFmtId="2" fontId="0" fillId="0" borderId="0" xfId="0" applyNumberFormat="1"/>
    <xf numFmtId="0" fontId="3" fillId="3" borderId="0" xfId="0" applyFont="1" applyFill="1"/>
    <xf numFmtId="164" fontId="3" fillId="3" borderId="0" xfId="0" applyNumberFormat="1" applyFont="1" applyFill="1"/>
    <xf numFmtId="0" fontId="3" fillId="3" borderId="1" xfId="0" applyFont="1" applyFill="1" applyBorder="1"/>
    <xf numFmtId="165" fontId="0" fillId="0" borderId="1" xfId="0" applyNumberFormat="1" applyBorder="1"/>
    <xf numFmtId="167" fontId="3" fillId="9" borderId="1" xfId="1" applyNumberFormat="1" applyFont="1" applyFill="1" applyBorder="1"/>
    <xf numFmtId="167" fontId="3" fillId="10" borderId="1" xfId="1" applyNumberFormat="1" applyFont="1" applyFill="1" applyBorder="1"/>
    <xf numFmtId="167" fontId="3" fillId="11" borderId="1" xfId="1" applyNumberFormat="1" applyFont="1" applyFill="1" applyBorder="1"/>
    <xf numFmtId="10" fontId="0" fillId="0" borderId="1" xfId="0" applyNumberFormat="1" applyBorder="1"/>
    <xf numFmtId="6" fontId="0" fillId="0" borderId="0" xfId="0" applyNumberFormat="1"/>
    <xf numFmtId="44" fontId="3" fillId="0" borderId="1" xfId="1" applyFont="1" applyBorder="1"/>
    <xf numFmtId="44" fontId="4" fillId="0" borderId="3" xfId="0" applyNumberFormat="1" applyFont="1" applyBorder="1"/>
    <xf numFmtId="9" fontId="3" fillId="0" borderId="1" xfId="0" applyNumberFormat="1" applyFont="1" applyBorder="1"/>
    <xf numFmtId="166" fontId="0" fillId="0" borderId="1" xfId="0" applyNumberFormat="1" applyBorder="1"/>
    <xf numFmtId="9" fontId="0" fillId="0" borderId="1" xfId="0" applyNumberFormat="1" applyBorder="1"/>
    <xf numFmtId="166" fontId="4" fillId="0" borderId="3" xfId="0" applyNumberFormat="1" applyFont="1" applyBorder="1"/>
    <xf numFmtId="44" fontId="4" fillId="0" borderId="3" xfId="1" applyFont="1" applyBorder="1"/>
    <xf numFmtId="10" fontId="0" fillId="0" borderId="0" xfId="0" applyNumberFormat="1"/>
    <xf numFmtId="3" fontId="0" fillId="0" borderId="0" xfId="0" applyNumberFormat="1"/>
    <xf numFmtId="43" fontId="0" fillId="0" borderId="0" xfId="3" applyFont="1"/>
    <xf numFmtId="168" fontId="0" fillId="0" borderId="0" xfId="3" applyNumberFormat="1" applyFont="1"/>
    <xf numFmtId="0" fontId="3" fillId="3" borderId="1" xfId="0" applyFont="1" applyFill="1" applyBorder="1" applyAlignment="1">
      <alignment horizontal="center" wrapText="1"/>
    </xf>
    <xf numFmtId="170" fontId="0" fillId="0" borderId="0" xfId="2" applyNumberFormat="1" applyFont="1"/>
    <xf numFmtId="169" fontId="3" fillId="0" borderId="0" xfId="3" applyNumberFormat="1" applyFont="1"/>
    <xf numFmtId="8" fontId="4" fillId="0" borderId="0" xfId="0" applyNumberFormat="1" applyFont="1" applyAlignment="1">
      <alignment horizontal="center"/>
    </xf>
    <xf numFmtId="0" fontId="5" fillId="0" borderId="9" xfId="0" applyFont="1" applyBorder="1" applyAlignment="1">
      <alignment horizontal="center"/>
    </xf>
    <xf numFmtId="8" fontId="5" fillId="0" borderId="0" xfId="0" applyNumberFormat="1" applyFont="1" applyAlignment="1">
      <alignment horizontal="center"/>
    </xf>
    <xf numFmtId="8" fontId="0" fillId="0" borderId="7" xfId="0" applyNumberFormat="1" applyBorder="1"/>
    <xf numFmtId="8" fontId="3" fillId="0" borderId="1" xfId="0" applyNumberFormat="1" applyFont="1" applyBorder="1"/>
    <xf numFmtId="0" fontId="3" fillId="12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172" fontId="3" fillId="12" borderId="1" xfId="1" applyNumberFormat="1" applyFont="1" applyFill="1" applyBorder="1" applyAlignment="1">
      <alignment horizontal="center"/>
    </xf>
    <xf numFmtId="172" fontId="3" fillId="10" borderId="1" xfId="1" applyNumberFormat="1" applyFont="1" applyFill="1" applyBorder="1" applyAlignment="1">
      <alignment horizontal="center"/>
    </xf>
    <xf numFmtId="172" fontId="3" fillId="13" borderId="1" xfId="1" applyNumberFormat="1" applyFont="1" applyFill="1" applyBorder="1" applyAlignment="1">
      <alignment horizontal="center"/>
    </xf>
    <xf numFmtId="172" fontId="3" fillId="14" borderId="1" xfId="1" applyNumberFormat="1" applyFont="1" applyFill="1" applyBorder="1" applyAlignment="1">
      <alignment horizontal="center"/>
    </xf>
    <xf numFmtId="172" fontId="3" fillId="15" borderId="1" xfId="1" applyNumberFormat="1" applyFont="1" applyFill="1" applyBorder="1" applyAlignment="1">
      <alignment horizontal="center"/>
    </xf>
    <xf numFmtId="10" fontId="3" fillId="12" borderId="1" xfId="2" applyNumberFormat="1" applyFont="1" applyFill="1" applyBorder="1" applyAlignment="1">
      <alignment horizontal="center"/>
    </xf>
    <xf numFmtId="10" fontId="3" fillId="10" borderId="1" xfId="2" applyNumberFormat="1" applyFont="1" applyFill="1" applyBorder="1" applyAlignment="1">
      <alignment horizontal="center"/>
    </xf>
    <xf numFmtId="10" fontId="3" fillId="13" borderId="1" xfId="2" applyNumberFormat="1" applyFont="1" applyFill="1" applyBorder="1" applyAlignment="1">
      <alignment horizontal="center"/>
    </xf>
    <xf numFmtId="10" fontId="3" fillId="14" borderId="1" xfId="2" applyNumberFormat="1" applyFont="1" applyFill="1" applyBorder="1" applyAlignment="1">
      <alignment horizontal="center"/>
    </xf>
    <xf numFmtId="10" fontId="3" fillId="15" borderId="1" xfId="2" applyNumberFormat="1" applyFont="1" applyFill="1" applyBorder="1" applyAlignment="1">
      <alignment horizontal="center"/>
    </xf>
    <xf numFmtId="44" fontId="0" fillId="0" borderId="0" xfId="0" applyNumberFormat="1"/>
    <xf numFmtId="172" fontId="0" fillId="0" borderId="0" xfId="0" applyNumberFormat="1"/>
    <xf numFmtId="44" fontId="0" fillId="0" borderId="0" xfId="1" applyFont="1" applyFill="1"/>
    <xf numFmtId="0" fontId="3" fillId="17" borderId="1" xfId="0" applyFont="1" applyFill="1" applyBorder="1" applyAlignment="1">
      <alignment horizontal="center"/>
    </xf>
    <xf numFmtId="0" fontId="0" fillId="18" borderId="1" xfId="0" applyFill="1" applyBorder="1"/>
    <xf numFmtId="0" fontId="7" fillId="0" borderId="1" xfId="0" applyFont="1" applyBorder="1"/>
    <xf numFmtId="172" fontId="7" fillId="0" borderId="1" xfId="0" applyNumberFormat="1" applyFont="1" applyBorder="1"/>
    <xf numFmtId="169" fontId="7" fillId="0" borderId="1" xfId="0" applyNumberFormat="1" applyFont="1" applyBorder="1"/>
    <xf numFmtId="8" fontId="3" fillId="0" borderId="1" xfId="0" applyNumberFormat="1" applyFont="1" applyBorder="1" applyAlignment="1">
      <alignment horizontal="center"/>
    </xf>
    <xf numFmtId="8" fontId="3" fillId="12" borderId="1" xfId="0" applyNumberFormat="1" applyFont="1" applyFill="1" applyBorder="1" applyAlignment="1">
      <alignment horizontal="center"/>
    </xf>
    <xf numFmtId="8" fontId="3" fillId="10" borderId="1" xfId="0" applyNumberFormat="1" applyFont="1" applyFill="1" applyBorder="1" applyAlignment="1">
      <alignment horizontal="center"/>
    </xf>
    <xf numFmtId="8" fontId="3" fillId="13" borderId="1" xfId="0" applyNumberFormat="1" applyFont="1" applyFill="1" applyBorder="1" applyAlignment="1">
      <alignment horizontal="center"/>
    </xf>
    <xf numFmtId="8" fontId="3" fillId="14" borderId="1" xfId="0" applyNumberFormat="1" applyFon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43" fontId="0" fillId="3" borderId="1" xfId="3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8" fontId="0" fillId="0" borderId="1" xfId="1" applyNumberFormat="1" applyFont="1" applyBorder="1" applyAlignment="1">
      <alignment horizontal="center"/>
    </xf>
    <xf numFmtId="172" fontId="0" fillId="12" borderId="1" xfId="0" applyNumberFormat="1" applyFill="1" applyBorder="1"/>
    <xf numFmtId="44" fontId="0" fillId="12" borderId="1" xfId="0" applyNumberFormat="1" applyFill="1" applyBorder="1"/>
    <xf numFmtId="172" fontId="0" fillId="10" borderId="1" xfId="0" applyNumberFormat="1" applyFill="1" applyBorder="1"/>
    <xf numFmtId="44" fontId="0" fillId="10" borderId="1" xfId="1" applyFont="1" applyFill="1" applyBorder="1"/>
    <xf numFmtId="44" fontId="0" fillId="10" borderId="1" xfId="0" applyNumberFormat="1" applyFill="1" applyBorder="1"/>
    <xf numFmtId="172" fontId="0" fillId="13" borderId="1" xfId="0" applyNumberFormat="1" applyFill="1" applyBorder="1"/>
    <xf numFmtId="44" fontId="0" fillId="13" borderId="1" xfId="1" applyFont="1" applyFill="1" applyBorder="1"/>
    <xf numFmtId="44" fontId="0" fillId="13" borderId="1" xfId="0" applyNumberFormat="1" applyFill="1" applyBorder="1"/>
    <xf numFmtId="172" fontId="0" fillId="16" borderId="1" xfId="0" applyNumberFormat="1" applyFill="1" applyBorder="1"/>
    <xf numFmtId="44" fontId="0" fillId="16" borderId="1" xfId="1" applyFont="1" applyFill="1" applyBorder="1"/>
    <xf numFmtId="44" fontId="0" fillId="16" borderId="1" xfId="0" applyNumberFormat="1" applyFill="1" applyBorder="1"/>
    <xf numFmtId="8" fontId="0" fillId="17" borderId="1" xfId="0" applyNumberFormat="1" applyFill="1" applyBorder="1"/>
    <xf numFmtId="6" fontId="0" fillId="0" borderId="1" xfId="0" applyNumberFormat="1" applyBorder="1"/>
    <xf numFmtId="170" fontId="0" fillId="0" borderId="1" xfId="2" applyNumberFormat="1" applyFont="1" applyBorder="1"/>
    <xf numFmtId="8" fontId="0" fillId="0" borderId="1" xfId="0" applyNumberFormat="1" applyBorder="1"/>
    <xf numFmtId="164" fontId="2" fillId="0" borderId="0" xfId="0" applyNumberFormat="1" applyFont="1"/>
    <xf numFmtId="164" fontId="2" fillId="0" borderId="2" xfId="0" applyNumberFormat="1" applyFont="1" applyBorder="1"/>
    <xf numFmtId="0" fontId="0" fillId="0" borderId="8" xfId="0" applyBorder="1"/>
    <xf numFmtId="0" fontId="3" fillId="0" borderId="8" xfId="0" applyFont="1" applyBorder="1"/>
    <xf numFmtId="2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3" fillId="0" borderId="13" xfId="0" applyFont="1" applyBorder="1"/>
    <xf numFmtId="0" fontId="0" fillId="0" borderId="14" xfId="0" applyBorder="1"/>
    <xf numFmtId="0" fontId="3" fillId="0" borderId="0" xfId="0" applyFont="1" applyAlignment="1">
      <alignment horizontal="center"/>
    </xf>
    <xf numFmtId="171" fontId="3" fillId="0" borderId="14" xfId="0" applyNumberFormat="1" applyFont="1" applyBorder="1" applyAlignment="1">
      <alignment horizontal="center"/>
    </xf>
    <xf numFmtId="0" fontId="0" fillId="0" borderId="15" xfId="0" applyBorder="1"/>
    <xf numFmtId="0" fontId="0" fillId="0" borderId="7" xfId="0" applyBorder="1"/>
    <xf numFmtId="0" fontId="3" fillId="0" borderId="7" xfId="0" applyFont="1" applyBorder="1"/>
    <xf numFmtId="0" fontId="0" fillId="0" borderId="16" xfId="0" applyBorder="1"/>
    <xf numFmtId="10" fontId="0" fillId="0" borderId="1" xfId="2" applyNumberFormat="1" applyFont="1" applyBorder="1"/>
    <xf numFmtId="2" fontId="0" fillId="0" borderId="1" xfId="0" applyNumberFormat="1" applyBorder="1"/>
    <xf numFmtId="165" fontId="0" fillId="0" borderId="0" xfId="2" applyNumberFormat="1" applyFont="1" applyFill="1" applyBorder="1"/>
    <xf numFmtId="164" fontId="3" fillId="0" borderId="0" xfId="0" applyNumberFormat="1" applyFont="1"/>
    <xf numFmtId="10" fontId="0" fillId="0" borderId="0" xfId="2" applyNumberFormat="1" applyFont="1" applyFill="1" applyBorder="1"/>
    <xf numFmtId="165" fontId="6" fillId="0" borderId="0" xfId="0" applyNumberFormat="1" applyFont="1"/>
    <xf numFmtId="0" fontId="3" fillId="9" borderId="0" xfId="0" applyFont="1" applyFill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166" fontId="0" fillId="0" borderId="0" xfId="2" applyNumberFormat="1" applyFon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320706</xdr:colOff>
      <xdr:row>32</xdr:row>
      <xdr:rowOff>128283</xdr:rowOff>
    </xdr:from>
    <xdr:to>
      <xdr:col>18</xdr:col>
      <xdr:colOff>225613</xdr:colOff>
      <xdr:row>40</xdr:row>
      <xdr:rowOff>10263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04C6A-5446-E14A-9DCE-937CCD5E6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7676" y="6927273"/>
          <a:ext cx="7277100" cy="152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188108</xdr:colOff>
      <xdr:row>3</xdr:row>
      <xdr:rowOff>106675</xdr:rowOff>
    </xdr:from>
    <xdr:to>
      <xdr:col>20</xdr:col>
      <xdr:colOff>553868</xdr:colOff>
      <xdr:row>12</xdr:row>
      <xdr:rowOff>106005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742070-206C-1656-5A0F-AFDCD19BE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4877" y="692829"/>
          <a:ext cx="7751299" cy="1757791"/>
        </a:xfrm>
        <a:prstGeom prst="rect">
          <a:avLst/>
        </a:prstGeom>
      </xdr:spPr>
    </xdr:pic>
    <xdr:clientData/>
  </xdr:twoCellAnchor>
  <xdr:twoCellAnchor editAs="oneCell">
    <xdr:from>
      <xdr:col>9</xdr:col>
      <xdr:colOff>666552</xdr:colOff>
      <xdr:row>51</xdr:row>
      <xdr:rowOff>81704</xdr:rowOff>
    </xdr:from>
    <xdr:to>
      <xdr:col>19</xdr:col>
      <xdr:colOff>118264</xdr:colOff>
      <xdr:row>57</xdr:row>
      <xdr:rowOff>39623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E08A8-683D-1675-2412-680278BBE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821" y="10715585"/>
          <a:ext cx="7792010" cy="1208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0167-669A-0E44-95CD-CB0D110169DE}">
  <dimension ref="B7:AE182"/>
  <sheetViews>
    <sheetView topLeftCell="F149" zoomScale="90" zoomScaleNormal="100" workbookViewId="0">
      <selection activeCell="L38" sqref="L38"/>
    </sheetView>
  </sheetViews>
  <sheetFormatPr baseColWidth="10" defaultRowHeight="16" x14ac:dyDescent="0.2"/>
  <cols>
    <col min="2" max="2" width="16.5" bestFit="1" customWidth="1"/>
    <col min="4" max="4" width="11.83203125" customWidth="1"/>
    <col min="6" max="6" width="20.33203125" bestFit="1" customWidth="1"/>
    <col min="9" max="9" width="12.5" bestFit="1" customWidth="1"/>
    <col min="10" max="10" width="16" customWidth="1"/>
  </cols>
  <sheetData>
    <row r="7" spans="2:20" x14ac:dyDescent="0.2">
      <c r="B7" s="2" t="s">
        <v>0</v>
      </c>
      <c r="C7" s="2" t="s">
        <v>1</v>
      </c>
      <c r="D7" s="9" t="s">
        <v>18</v>
      </c>
      <c r="E7" s="9" t="s">
        <v>19</v>
      </c>
      <c r="H7" t="s">
        <v>20</v>
      </c>
      <c r="I7" t="s">
        <v>21</v>
      </c>
    </row>
    <row r="8" spans="2:20" x14ac:dyDescent="0.2">
      <c r="B8" s="3">
        <v>1</v>
      </c>
      <c r="C8" s="4">
        <v>3.5400000000000001E-2</v>
      </c>
      <c r="D8" s="28">
        <f>((100/J9)^(-1/B8))-1</f>
        <v>3.5400000000000098E-2</v>
      </c>
      <c r="E8" s="30">
        <f>C8</f>
        <v>3.5400000000000001E-2</v>
      </c>
      <c r="S8" t="s">
        <v>7</v>
      </c>
      <c r="T8" t="s">
        <v>22</v>
      </c>
    </row>
    <row r="9" spans="2:20" x14ac:dyDescent="0.2">
      <c r="B9" s="3">
        <v>2</v>
      </c>
      <c r="C9" s="4">
        <v>3.78E-2</v>
      </c>
      <c r="D9" s="28">
        <f>(((100-M15)/K10)^(-1/B9))-1</f>
        <v>3.7845468129876547E-2</v>
      </c>
      <c r="E9" s="28">
        <f>((1+D9)^B9)/((1+D8)^B8)-1</f>
        <v>4.0296712109061827E-2</v>
      </c>
      <c r="J9" s="25">
        <v>103.54</v>
      </c>
      <c r="K9" s="25">
        <v>0</v>
      </c>
      <c r="L9" s="25">
        <v>0</v>
      </c>
      <c r="M9" s="25">
        <v>0</v>
      </c>
      <c r="N9" s="1">
        <v>1</v>
      </c>
      <c r="O9" s="26" cm="1">
        <f t="array" ref="O9:R12">MINVERSE(J9:M12)</f>
        <v>9.6581031485416264E-3</v>
      </c>
      <c r="P9" s="26">
        <v>0</v>
      </c>
      <c r="Q9" s="26">
        <v>0</v>
      </c>
      <c r="R9" s="26">
        <v>0</v>
      </c>
      <c r="S9">
        <v>100</v>
      </c>
      <c r="T9" s="27" cm="1">
        <f t="array" ref="T9">MMULT(O9:R9,$S$9:$S$12)</f>
        <v>0.96581031485416269</v>
      </c>
    </row>
    <row r="10" spans="2:20" x14ac:dyDescent="0.2">
      <c r="B10" s="3">
        <v>3</v>
      </c>
      <c r="C10" s="4">
        <v>3.9699999999999999E-2</v>
      </c>
      <c r="D10" s="28">
        <f>(((100-M16)/L11)^(-1/B10))-1</f>
        <v>3.9808645714521473E-2</v>
      </c>
      <c r="E10" s="28">
        <f>((1+D10)^B10)/((1+D9)^B9)-1</f>
        <v>4.3746148486564218E-2</v>
      </c>
      <c r="F10" s="150">
        <f>POWER(C10,B10)/POWER(C9,B9)</f>
        <v>4.3791308334033205E-2</v>
      </c>
      <c r="J10" s="25">
        <v>3.78</v>
      </c>
      <c r="K10" s="25">
        <v>103.78</v>
      </c>
      <c r="L10" s="25">
        <v>0</v>
      </c>
      <c r="M10" s="25">
        <v>0</v>
      </c>
      <c r="N10" s="1">
        <v>2</v>
      </c>
      <c r="O10" s="26">
        <v>-3.5177905089118659E-4</v>
      </c>
      <c r="P10" s="26">
        <v>9.6357679707072645E-3</v>
      </c>
      <c r="Q10" s="26">
        <v>0</v>
      </c>
      <c r="R10" s="26">
        <v>0</v>
      </c>
      <c r="S10">
        <v>100</v>
      </c>
      <c r="T10" s="27" cm="1">
        <f t="array" ref="T10">MMULT(O10:R10,$S$9:$S$12)</f>
        <v>0.92839889198160774</v>
      </c>
    </row>
    <row r="11" spans="2:20" x14ac:dyDescent="0.2">
      <c r="B11" s="3">
        <v>4</v>
      </c>
      <c r="C11" s="4">
        <v>4.1300000000000003E-2</v>
      </c>
      <c r="D11" s="28">
        <f>((100-M17)/M12)^(-1/B11)-1</f>
        <v>4.1487494841610406E-2</v>
      </c>
      <c r="E11" s="28">
        <f>((1+D11)^B11)/((1+D10)^B10)-1</f>
        <v>4.6540323503772463E-2</v>
      </c>
      <c r="J11" s="25">
        <v>3.97</v>
      </c>
      <c r="K11" s="25">
        <v>3.97</v>
      </c>
      <c r="L11" s="25">
        <v>103.97</v>
      </c>
      <c r="M11" s="25">
        <v>0</v>
      </c>
      <c r="N11" s="1">
        <v>3</v>
      </c>
      <c r="O11" s="26">
        <v>-3.5535353147708227E-4</v>
      </c>
      <c r="P11" s="26">
        <v>-3.67933046491371E-4</v>
      </c>
      <c r="Q11" s="26">
        <v>9.6181590843512545E-3</v>
      </c>
      <c r="R11" s="26">
        <v>0</v>
      </c>
      <c r="S11">
        <v>100</v>
      </c>
      <c r="T11" s="27" cm="1">
        <f t="array" ref="T11">MMULT(O11:R11,$S$9:$S$12)</f>
        <v>0.88948725063828005</v>
      </c>
    </row>
    <row r="12" spans="2:20" x14ac:dyDescent="0.2">
      <c r="J12" s="25">
        <v>4.13</v>
      </c>
      <c r="K12" s="25">
        <v>4.13</v>
      </c>
      <c r="L12" s="25">
        <v>4.13</v>
      </c>
      <c r="M12" s="25">
        <v>104.13</v>
      </c>
      <c r="N12" s="1">
        <v>4</v>
      </c>
      <c r="O12" s="26">
        <v>-3.5501304559969237E-4</v>
      </c>
      <c r="P12" s="26">
        <v>-3.6758050741392143E-4</v>
      </c>
      <c r="Q12" s="26">
        <v>-3.8147505059416773E-4</v>
      </c>
      <c r="R12" s="26">
        <v>9.6033803898972446E-3</v>
      </c>
      <c r="S12">
        <v>100</v>
      </c>
      <c r="T12" s="27" cm="1">
        <f t="array" ref="T12">MMULT(O12:R12,$S$9:$S$12)</f>
        <v>0.84993117862894629</v>
      </c>
    </row>
    <row r="13" spans="2:20" x14ac:dyDescent="0.2">
      <c r="B13" t="s">
        <v>3</v>
      </c>
      <c r="C13" t="s">
        <v>4</v>
      </c>
      <c r="N13" s="1"/>
    </row>
    <row r="14" spans="2:20" x14ac:dyDescent="0.2">
      <c r="B14" t="s">
        <v>2</v>
      </c>
      <c r="C14" s="5">
        <v>1</v>
      </c>
      <c r="J14" s="29">
        <v>0</v>
      </c>
      <c r="K14" s="29">
        <v>0</v>
      </c>
      <c r="L14" s="29">
        <v>0</v>
      </c>
      <c r="M14" s="29">
        <f>SUM(J14:L14)</f>
        <v>0</v>
      </c>
    </row>
    <row r="15" spans="2:20" x14ac:dyDescent="0.2">
      <c r="B15" t="s">
        <v>5</v>
      </c>
      <c r="C15" s="6">
        <v>0.17</v>
      </c>
      <c r="J15" s="29">
        <f>J10*T9</f>
        <v>3.6507629901487348</v>
      </c>
      <c r="K15" s="29">
        <v>0</v>
      </c>
      <c r="L15" s="29">
        <v>0</v>
      </c>
      <c r="M15" s="29">
        <f t="shared" ref="M15:M17" si="0">SUM(J15:L15)</f>
        <v>3.6507629901487348</v>
      </c>
    </row>
    <row r="16" spans="2:20" x14ac:dyDescent="0.2">
      <c r="E16" s="142" t="s">
        <v>9</v>
      </c>
      <c r="F16" s="142"/>
      <c r="J16" s="29">
        <f>J11*T9</f>
        <v>3.8342669499710262</v>
      </c>
      <c r="K16" s="29">
        <f>K11*T10</f>
        <v>3.6857436011669829</v>
      </c>
      <c r="L16" s="29">
        <v>0</v>
      </c>
      <c r="M16" s="29">
        <f t="shared" si="0"/>
        <v>7.5200105511380091</v>
      </c>
    </row>
    <row r="17" spans="2:18" x14ac:dyDescent="0.2">
      <c r="B17" s="9" t="s">
        <v>6</v>
      </c>
      <c r="E17" s="8" t="s">
        <v>10</v>
      </c>
      <c r="F17" s="8">
        <v>105</v>
      </c>
      <c r="J17" s="29">
        <f>J12*T9</f>
        <v>3.9887966003476918</v>
      </c>
      <c r="K17" s="29">
        <f>K12*T10</f>
        <v>3.8342874238840401</v>
      </c>
      <c r="L17" s="29">
        <f>L12*T11</f>
        <v>3.6735823451360967</v>
      </c>
      <c r="M17" s="29">
        <f t="shared" si="0"/>
        <v>11.496666369367828</v>
      </c>
    </row>
    <row r="18" spans="2:18" x14ac:dyDescent="0.2">
      <c r="B18" s="9" t="s">
        <v>7</v>
      </c>
      <c r="C18" s="7">
        <v>105.3</v>
      </c>
      <c r="E18" s="8" t="s">
        <v>11</v>
      </c>
      <c r="F18" s="8">
        <v>102.5</v>
      </c>
    </row>
    <row r="19" spans="2:18" x14ac:dyDescent="0.2">
      <c r="B19" s="9" t="s">
        <v>8</v>
      </c>
      <c r="C19">
        <v>6.8</v>
      </c>
      <c r="E19" s="8" t="s">
        <v>12</v>
      </c>
      <c r="F19" s="8">
        <v>100</v>
      </c>
    </row>
    <row r="28" spans="2:18" x14ac:dyDescent="0.2">
      <c r="I28" s="9"/>
      <c r="R28" s="10"/>
    </row>
    <row r="29" spans="2:18" x14ac:dyDescent="0.2">
      <c r="I29" t="s">
        <v>24</v>
      </c>
      <c r="J29" t="s">
        <v>27</v>
      </c>
      <c r="R29" s="15">
        <v>100</v>
      </c>
    </row>
    <row r="30" spans="2:18" x14ac:dyDescent="0.2">
      <c r="P30" s="11"/>
      <c r="R30" s="12">
        <f>$I$31</f>
        <v>4.13</v>
      </c>
    </row>
    <row r="31" spans="2:18" x14ac:dyDescent="0.2">
      <c r="H31" s="31" t="s">
        <v>23</v>
      </c>
      <c r="I31" s="31">
        <v>4.13</v>
      </c>
      <c r="P31" s="17">
        <f>0.5*(((R29+R30)/(1+P34))+((R35+R36)/(1+P34)))</f>
        <v>96.884783216206515</v>
      </c>
      <c r="R31" s="13"/>
    </row>
    <row r="32" spans="2:18" x14ac:dyDescent="0.2">
      <c r="P32" s="15">
        <f>P31</f>
        <v>96.884783216206515</v>
      </c>
    </row>
    <row r="33" spans="10:20" x14ac:dyDescent="0.2">
      <c r="P33" s="12">
        <f>$I$31</f>
        <v>4.13</v>
      </c>
    </row>
    <row r="34" spans="10:20" x14ac:dyDescent="0.2">
      <c r="N34" s="17">
        <f>0.5*(((P32+P33)/(1+N37))+((P38+P39)/(1+N37)))</f>
        <v>96.238657017004286</v>
      </c>
      <c r="P34" s="14">
        <f>$P$57*EXP(6*$C$15)</f>
        <v>7.4781782476874364E-2</v>
      </c>
      <c r="R34" s="10"/>
    </row>
    <row r="35" spans="10:20" x14ac:dyDescent="0.2">
      <c r="N35" s="15">
        <f>N34</f>
        <v>96.238657017004286</v>
      </c>
      <c r="R35" s="15">
        <v>100</v>
      </c>
    </row>
    <row r="36" spans="10:20" x14ac:dyDescent="0.2">
      <c r="N36" s="12">
        <f>$I$31</f>
        <v>4.13</v>
      </c>
      <c r="R36" s="12">
        <f>$I$31</f>
        <v>4.13</v>
      </c>
      <c r="T36" s="33"/>
    </row>
    <row r="37" spans="10:20" x14ac:dyDescent="0.2">
      <c r="L37" s="17">
        <f>0.5*(((N35+N36)/(1+L40))+((N41+N42)/(1+L40)))</f>
        <v>97.400791388107152</v>
      </c>
      <c r="N37" s="14">
        <f>$N$57*EXP(4*$C$15)</f>
        <v>5.9929151807389267E-2</v>
      </c>
      <c r="P37" s="17">
        <f>0.5*(((R35+R36)/(1+P40))+((R41+R42)/(1+P40)))</f>
        <v>98.867532990024685</v>
      </c>
      <c r="R37" s="13"/>
    </row>
    <row r="38" spans="10:20" x14ac:dyDescent="0.2">
      <c r="L38" s="15">
        <f>L37</f>
        <v>97.400791388107152</v>
      </c>
      <c r="P38" s="15">
        <f>P37</f>
        <v>98.867532990024685</v>
      </c>
    </row>
    <row r="39" spans="10:20" x14ac:dyDescent="0.2">
      <c r="L39" s="12">
        <f>I31</f>
        <v>4.13</v>
      </c>
      <c r="P39" s="12">
        <f>$I$31</f>
        <v>4.13</v>
      </c>
      <c r="T39" s="51"/>
    </row>
    <row r="40" spans="10:20" x14ac:dyDescent="0.2">
      <c r="L40" s="16">
        <f>L57*EXP(2*$C$15)</f>
        <v>4.7133736688294292E-2</v>
      </c>
      <c r="N40" s="17">
        <f>0.5*(((P38+P39)/(1+N43))+((P44+P45)/(1+N43)))</f>
        <v>99.484652268247061</v>
      </c>
      <c r="P40" s="14">
        <f>$P$57*EXP(4*$C$15)</f>
        <v>5.3227453450328144E-2</v>
      </c>
      <c r="R40" s="10"/>
    </row>
    <row r="41" spans="10:20" x14ac:dyDescent="0.2">
      <c r="J41" s="17">
        <f>0.5*(((L38+L39)/(1+J42))+((L44+L45)/(1+J42)))</f>
        <v>99.999986395056936</v>
      </c>
      <c r="N41" s="15">
        <f>N40</f>
        <v>99.484652268247061</v>
      </c>
      <c r="R41" s="15">
        <v>100</v>
      </c>
    </row>
    <row r="42" spans="10:20" x14ac:dyDescent="0.2">
      <c r="J42" s="18">
        <f>J57</f>
        <v>3.5400000000000001E-2</v>
      </c>
      <c r="N42" s="12">
        <f>$I$31</f>
        <v>4.13</v>
      </c>
      <c r="R42" s="12">
        <f>$I$31</f>
        <v>4.13</v>
      </c>
    </row>
    <row r="43" spans="10:20" x14ac:dyDescent="0.2">
      <c r="L43" s="17">
        <f>0.5*(((N41+N42)/(1+L46))+((N47+N48)/(1+L46)))</f>
        <v>101.41918043877681</v>
      </c>
      <c r="N43" s="14">
        <f>$N$57*EXP(2*$C$15)</f>
        <v>4.2655791724834885E-2</v>
      </c>
      <c r="P43" s="17">
        <f>0.5*(((R41+R42)/(1+P46))+((R47+R48)/(1+P46)))</f>
        <v>100.3289647604134</v>
      </c>
      <c r="R43" s="13"/>
    </row>
    <row r="44" spans="10:20" x14ac:dyDescent="0.2">
      <c r="L44" s="15">
        <f>L43</f>
        <v>101.41918043877681</v>
      </c>
      <c r="P44" s="15">
        <f>P43</f>
        <v>100.3289647604134</v>
      </c>
    </row>
    <row r="45" spans="10:20" x14ac:dyDescent="0.2">
      <c r="L45" s="12">
        <f>I31</f>
        <v>4.13</v>
      </c>
      <c r="N45" s="11"/>
      <c r="P45" s="12">
        <f>$I$31</f>
        <v>4.13</v>
      </c>
    </row>
    <row r="46" spans="10:20" x14ac:dyDescent="0.2">
      <c r="L46" s="19">
        <f>L57</f>
        <v>3.3548394975635089E-2</v>
      </c>
      <c r="N46" s="17">
        <f>0.5*(((P44+P45)/(1+N49))+((P50+P51)/(1+N49)))</f>
        <v>101.89861005623712</v>
      </c>
      <c r="P46" s="14">
        <f>$P$57*EXP(2*$C$15)</f>
        <v>3.7885721722171847E-2</v>
      </c>
      <c r="R46" s="10"/>
    </row>
    <row r="47" spans="10:20" x14ac:dyDescent="0.2">
      <c r="N47" s="15">
        <f>N46</f>
        <v>101.89861005623712</v>
      </c>
      <c r="R47" s="15">
        <v>100</v>
      </c>
    </row>
    <row r="48" spans="10:20" x14ac:dyDescent="0.2">
      <c r="N48" s="12">
        <f>$I$31</f>
        <v>4.13</v>
      </c>
      <c r="R48" s="12">
        <f>$I$31</f>
        <v>4.13</v>
      </c>
    </row>
    <row r="49" spans="10:18" x14ac:dyDescent="0.2">
      <c r="N49" s="19">
        <f>N57</f>
        <v>3.0361126643680385E-2</v>
      </c>
      <c r="P49" s="17">
        <f>0.5*(((R47+R48)/(1+P52))+((R53+R54)/(1+P52)))</f>
        <v>101.39576856152568</v>
      </c>
      <c r="R49" s="13"/>
    </row>
    <row r="50" spans="10:18" x14ac:dyDescent="0.2">
      <c r="P50" s="15">
        <f>P49</f>
        <v>101.39576856152568</v>
      </c>
    </row>
    <row r="51" spans="10:18" x14ac:dyDescent="0.2">
      <c r="P51" s="12">
        <f>$I$31</f>
        <v>4.13</v>
      </c>
    </row>
    <row r="52" spans="10:18" x14ac:dyDescent="0.2">
      <c r="P52" s="20">
        <f>P57</f>
        <v>2.6965932378284669E-2</v>
      </c>
      <c r="R52" s="10"/>
    </row>
    <row r="53" spans="10:18" x14ac:dyDescent="0.2">
      <c r="R53" s="15">
        <v>100</v>
      </c>
    </row>
    <row r="54" spans="10:18" x14ac:dyDescent="0.2">
      <c r="R54" s="12">
        <f>$I$31</f>
        <v>4.13</v>
      </c>
    </row>
    <row r="55" spans="10:18" x14ac:dyDescent="0.2">
      <c r="R55" s="13"/>
    </row>
    <row r="57" spans="10:18" x14ac:dyDescent="0.2">
      <c r="J57" s="21">
        <f>$C$8</f>
        <v>3.5400000000000001E-2</v>
      </c>
      <c r="K57" s="22"/>
      <c r="L57" s="23">
        <v>3.3548394975635089E-2</v>
      </c>
      <c r="M57" s="22"/>
      <c r="N57" s="23">
        <v>3.0361126643680385E-2</v>
      </c>
      <c r="O57" s="22"/>
      <c r="P57" s="23">
        <v>2.6965932378284669E-2</v>
      </c>
      <c r="Q57" s="1"/>
      <c r="R57" s="1"/>
    </row>
    <row r="58" spans="10:18" x14ac:dyDescent="0.2">
      <c r="J58" s="24" t="s">
        <v>13</v>
      </c>
      <c r="K58" s="24"/>
      <c r="L58" s="24" t="s">
        <v>14</v>
      </c>
      <c r="M58" s="24"/>
      <c r="N58" s="24" t="s">
        <v>15</v>
      </c>
      <c r="O58" s="24"/>
      <c r="P58" s="24" t="s">
        <v>16</v>
      </c>
      <c r="Q58" s="24"/>
      <c r="R58" s="24" t="s">
        <v>17</v>
      </c>
    </row>
    <row r="65" spans="7:18" x14ac:dyDescent="0.2">
      <c r="G65" t="s">
        <v>25</v>
      </c>
      <c r="I65" t="s">
        <v>26</v>
      </c>
    </row>
    <row r="70" spans="7:18" x14ac:dyDescent="0.2">
      <c r="I70" s="9"/>
      <c r="R70" s="10"/>
    </row>
    <row r="71" spans="7:18" x14ac:dyDescent="0.2">
      <c r="R71" s="15">
        <v>100</v>
      </c>
    </row>
    <row r="72" spans="7:18" x14ac:dyDescent="0.2">
      <c r="P72" s="11"/>
      <c r="R72" s="12">
        <f>$I$73</f>
        <v>6.8</v>
      </c>
    </row>
    <row r="73" spans="7:18" x14ac:dyDescent="0.2">
      <c r="H73" s="31" t="s">
        <v>23</v>
      </c>
      <c r="I73" s="31">
        <v>6.8</v>
      </c>
      <c r="P73" s="17">
        <f>0.5*(((R71+R72)/(1+P76))+((R77+R78)/(1+P76)))</f>
        <v>99.369008426878466</v>
      </c>
      <c r="R73" s="13"/>
    </row>
    <row r="74" spans="7:18" x14ac:dyDescent="0.2">
      <c r="P74" s="15">
        <f>MAX(P73,$I$78)</f>
        <v>100</v>
      </c>
    </row>
    <row r="75" spans="7:18" x14ac:dyDescent="0.2">
      <c r="H75" s="142" t="s">
        <v>9</v>
      </c>
      <c r="I75" s="142"/>
      <c r="P75" s="12">
        <f>$I$73</f>
        <v>6.8</v>
      </c>
    </row>
    <row r="76" spans="7:18" x14ac:dyDescent="0.2">
      <c r="H76" s="8" t="s">
        <v>10</v>
      </c>
      <c r="I76" s="8">
        <v>105</v>
      </c>
      <c r="N76" s="17">
        <f>0.5*(((P74+P75)/(1+N79))+((P80+P81)/(1+N79)))</f>
        <v>101.42309869101383</v>
      </c>
      <c r="P76" s="14">
        <f>$P$57*EXP(6*$C$15)</f>
        <v>7.4781782476874364E-2</v>
      </c>
      <c r="R76" s="10"/>
    </row>
    <row r="77" spans="7:18" x14ac:dyDescent="0.2">
      <c r="H77" s="8" t="s">
        <v>11</v>
      </c>
      <c r="I77" s="8">
        <v>102.5</v>
      </c>
      <c r="N77" s="15">
        <f>MAX(N76,$I$77)</f>
        <v>102.5</v>
      </c>
      <c r="R77" s="15">
        <v>100</v>
      </c>
    </row>
    <row r="78" spans="7:18" x14ac:dyDescent="0.2">
      <c r="H78" s="8" t="s">
        <v>12</v>
      </c>
      <c r="I78" s="8">
        <v>100</v>
      </c>
      <c r="N78" s="12">
        <f>$I$73</f>
        <v>6.8</v>
      </c>
      <c r="R78" s="12">
        <f>$I$73</f>
        <v>6.8</v>
      </c>
    </row>
    <row r="79" spans="7:18" x14ac:dyDescent="0.2">
      <c r="L79" s="17">
        <f>0.5*(((N77+N78)/(1+L82))+((N83+N84)/(1+L82)))</f>
        <v>105.33265062489653</v>
      </c>
      <c r="N79" s="14">
        <f>$N$57*EXP(4*$C$15)</f>
        <v>5.9929151807389267E-2</v>
      </c>
      <c r="P79" s="17">
        <f>0.5*(((R77+R78)/(1+P82))+((R83+R84)/(1+P82)))</f>
        <v>101.40259793848685</v>
      </c>
      <c r="R79" s="13"/>
    </row>
    <row r="80" spans="7:18" x14ac:dyDescent="0.2">
      <c r="L80" s="15">
        <f>MAX(L79,$I$76)</f>
        <v>105.33265062489653</v>
      </c>
      <c r="P80" s="15">
        <f>MAX(P79,$I$78)</f>
        <v>101.40259793848685</v>
      </c>
    </row>
    <row r="81" spans="10:31" x14ac:dyDescent="0.2">
      <c r="L81" s="12">
        <f>$I$73</f>
        <v>6.8</v>
      </c>
      <c r="P81" s="12">
        <f>$I$73</f>
        <v>6.8</v>
      </c>
    </row>
    <row r="82" spans="10:31" x14ac:dyDescent="0.2">
      <c r="L82" s="16">
        <f>L99*EXP(2*$C$15)</f>
        <v>4.7133736688294292E-2</v>
      </c>
      <c r="N82" s="17">
        <f>0.5*(((P80+P81)/(1+N85))+((P86+P87)/(1+N85)))</f>
        <v>104.494744088261</v>
      </c>
      <c r="P82" s="14">
        <f>$P$57*EXP(4*$C$15)</f>
        <v>5.3227453450328144E-2</v>
      </c>
      <c r="R82" s="10"/>
    </row>
    <row r="83" spans="10:31" x14ac:dyDescent="0.2">
      <c r="J83" s="32">
        <f>0.5*(((L80+L81)/(1+J84))+((L86+L87)/(1+J84)))</f>
        <v>110.01872267037757</v>
      </c>
      <c r="N83" s="15">
        <f>MAX(N82,$I$77)</f>
        <v>104.494744088261</v>
      </c>
      <c r="R83" s="15">
        <v>100</v>
      </c>
    </row>
    <row r="84" spans="10:31" x14ac:dyDescent="0.2">
      <c r="J84" s="18">
        <f>J99</f>
        <v>3.5400000000000001E-2</v>
      </c>
      <c r="N84" s="12">
        <f>$I$73</f>
        <v>6.8</v>
      </c>
      <c r="R84" s="12">
        <f>$I$73</f>
        <v>6.8</v>
      </c>
    </row>
    <row r="85" spans="10:31" x14ac:dyDescent="0.2">
      <c r="L85" s="17">
        <f>0.5*(((N83+N84)/(1+L88))+((N89+N90)/(1+L88)))</f>
        <v>108.89412028092138</v>
      </c>
      <c r="N85" s="14">
        <f>$N$57*EXP(2*$C$15)</f>
        <v>4.2655791724834885E-2</v>
      </c>
      <c r="P85" s="17">
        <f>0.5*(((R83+R84)/(1+P88))+((R89+R90)/(1+P88)))</f>
        <v>102.90150231837272</v>
      </c>
      <c r="R85" s="13"/>
    </row>
    <row r="86" spans="10:31" x14ac:dyDescent="0.2">
      <c r="L86" s="15">
        <f>MAX(L85,$I$76)</f>
        <v>108.89412028092138</v>
      </c>
      <c r="P86" s="15">
        <f>MAX(P85,$I$78)</f>
        <v>102.90150231837272</v>
      </c>
    </row>
    <row r="87" spans="10:31" x14ac:dyDescent="0.2">
      <c r="L87" s="12">
        <f>$I$73</f>
        <v>6.8</v>
      </c>
      <c r="N87" s="11"/>
      <c r="P87" s="12">
        <f>$I$73</f>
        <v>6.8</v>
      </c>
    </row>
    <row r="88" spans="10:31" x14ac:dyDescent="0.2">
      <c r="L88" s="19">
        <f>L99</f>
        <v>3.3548394975635089E-2</v>
      </c>
      <c r="N88" s="17">
        <f>0.5*(((P86+P87)/(1+N91))+((P92+P93)/(1+N91)))</f>
        <v>106.9999423889991</v>
      </c>
      <c r="P88" s="14">
        <f>$P$57*EXP(2*$C$15)</f>
        <v>3.7885721722171847E-2</v>
      </c>
      <c r="R88" s="10"/>
    </row>
    <row r="89" spans="10:31" x14ac:dyDescent="0.2">
      <c r="N89" s="15">
        <f>MAX(N88,$I$77)</f>
        <v>106.9999423889991</v>
      </c>
      <c r="R89" s="15">
        <v>100</v>
      </c>
    </row>
    <row r="90" spans="10:31" x14ac:dyDescent="0.2">
      <c r="N90" s="12">
        <f>$I$73</f>
        <v>6.8</v>
      </c>
      <c r="R90" s="12">
        <f>$I$73</f>
        <v>6.8</v>
      </c>
      <c r="AE90" s="110"/>
    </row>
    <row r="91" spans="10:31" x14ac:dyDescent="0.2">
      <c r="N91" s="19">
        <f>N99</f>
        <v>3.0361126643680385E-2</v>
      </c>
      <c r="P91" s="17">
        <f>0.5*(((R89+R90)/(1+P94))+((R95+R96)/(1+P94)))</f>
        <v>103.99566006310327</v>
      </c>
      <c r="R91" s="13"/>
      <c r="AC91" s="11"/>
      <c r="AE91" s="11"/>
    </row>
    <row r="92" spans="10:31" x14ac:dyDescent="0.2">
      <c r="P92" s="15">
        <f>MAX(P91,$I$78)</f>
        <v>103.99566006310327</v>
      </c>
      <c r="AC92" s="33"/>
    </row>
    <row r="93" spans="10:31" x14ac:dyDescent="0.2">
      <c r="P93" s="12">
        <f>$I$73</f>
        <v>6.8</v>
      </c>
      <c r="AC93" s="110"/>
    </row>
    <row r="94" spans="10:31" x14ac:dyDescent="0.2">
      <c r="P94" s="20">
        <f>P99</f>
        <v>2.6965932378284669E-2</v>
      </c>
      <c r="R94" s="10"/>
      <c r="AC94" s="11"/>
    </row>
    <row r="95" spans="10:31" x14ac:dyDescent="0.2">
      <c r="R95" s="15">
        <v>100</v>
      </c>
      <c r="AA95" s="33"/>
      <c r="AC95" s="129"/>
    </row>
    <row r="96" spans="10:31" x14ac:dyDescent="0.2">
      <c r="R96" s="12">
        <f>$I$73</f>
        <v>6.8</v>
      </c>
      <c r="AA96" s="110"/>
      <c r="AE96" s="110"/>
    </row>
    <row r="97" spans="8:31" x14ac:dyDescent="0.2">
      <c r="R97" s="13"/>
      <c r="AA97" s="11"/>
      <c r="AE97" s="11"/>
    </row>
    <row r="98" spans="8:31" x14ac:dyDescent="0.2">
      <c r="Y98" s="33"/>
      <c r="AA98" s="129"/>
      <c r="AC98" s="33"/>
    </row>
    <row r="99" spans="8:31" x14ac:dyDescent="0.2">
      <c r="J99" s="21">
        <f>$C$8</f>
        <v>3.5400000000000001E-2</v>
      </c>
      <c r="K99" s="22"/>
      <c r="L99" s="23">
        <v>3.3548394975635089E-2</v>
      </c>
      <c r="M99" s="22"/>
      <c r="N99" s="23">
        <v>3.0361126643680385E-2</v>
      </c>
      <c r="O99" s="22"/>
      <c r="P99" s="23">
        <v>2.6965932378284669E-2</v>
      </c>
      <c r="Q99" s="1"/>
      <c r="R99" s="1"/>
      <c r="Y99" s="110"/>
      <c r="AC99" s="110"/>
    </row>
    <row r="100" spans="8:31" x14ac:dyDescent="0.2">
      <c r="J100" s="24" t="s">
        <v>13</v>
      </c>
      <c r="K100" s="24"/>
      <c r="L100" s="24" t="s">
        <v>14</v>
      </c>
      <c r="M100" s="24"/>
      <c r="N100" s="24" t="s">
        <v>15</v>
      </c>
      <c r="O100" s="24"/>
      <c r="P100" s="24" t="s">
        <v>16</v>
      </c>
      <c r="Q100" s="24"/>
      <c r="R100" s="24" t="s">
        <v>17</v>
      </c>
      <c r="Y100" s="11"/>
      <c r="AC100" s="11"/>
    </row>
    <row r="101" spans="8:31" x14ac:dyDescent="0.2">
      <c r="Y101" s="30"/>
      <c r="AA101" s="33"/>
      <c r="AC101" s="129"/>
    </row>
    <row r="102" spans="8:31" x14ac:dyDescent="0.2">
      <c r="W102" s="130"/>
      <c r="AA102" s="110"/>
      <c r="AE102" s="110"/>
    </row>
    <row r="103" spans="8:31" x14ac:dyDescent="0.2">
      <c r="W103" s="131"/>
      <c r="AA103" s="11"/>
      <c r="AE103" s="11"/>
    </row>
    <row r="104" spans="8:31" x14ac:dyDescent="0.2">
      <c r="Y104" s="33"/>
      <c r="AA104" s="129"/>
      <c r="AC104" s="33"/>
    </row>
    <row r="105" spans="8:31" x14ac:dyDescent="0.2">
      <c r="Y105" s="110"/>
      <c r="AC105" s="110"/>
    </row>
    <row r="106" spans="8:31" x14ac:dyDescent="0.2">
      <c r="Y106" s="11"/>
      <c r="AA106" s="11"/>
      <c r="AC106" s="11"/>
    </row>
    <row r="107" spans="8:31" x14ac:dyDescent="0.2">
      <c r="H107" t="s">
        <v>28</v>
      </c>
      <c r="I107" t="s">
        <v>29</v>
      </c>
      <c r="Y107" s="30"/>
      <c r="AA107" s="33"/>
      <c r="AC107" s="129"/>
    </row>
    <row r="108" spans="8:31" x14ac:dyDescent="0.2">
      <c r="AA108" s="110"/>
      <c r="AE108" s="110"/>
    </row>
    <row r="109" spans="8:31" x14ac:dyDescent="0.2">
      <c r="H109" t="s">
        <v>30</v>
      </c>
      <c r="I109" s="9"/>
      <c r="J109" s="34">
        <v>105.3</v>
      </c>
      <c r="AA109" s="11"/>
      <c r="AE109" s="11"/>
    </row>
    <row r="110" spans="8:31" x14ac:dyDescent="0.2">
      <c r="H110" t="s">
        <v>31</v>
      </c>
      <c r="J110" s="33">
        <f>J123-J109</f>
        <v>1.1253575848968467E-9</v>
      </c>
      <c r="R110" s="10"/>
      <c r="AA110" s="30"/>
      <c r="AC110" s="33"/>
    </row>
    <row r="111" spans="8:31" x14ac:dyDescent="0.2">
      <c r="H111" s="35" t="s">
        <v>32</v>
      </c>
      <c r="I111" s="35"/>
      <c r="J111" s="36">
        <v>263.28395050381619</v>
      </c>
      <c r="K111" t="s">
        <v>33</v>
      </c>
      <c r="R111" s="15">
        <v>100</v>
      </c>
      <c r="AC111" s="110"/>
    </row>
    <row r="112" spans="8:31" x14ac:dyDescent="0.2">
      <c r="P112" s="11"/>
      <c r="R112" s="12">
        <f>$I$73</f>
        <v>6.8</v>
      </c>
      <c r="AC112" s="11"/>
    </row>
    <row r="113" spans="8:31" x14ac:dyDescent="0.2">
      <c r="H113" s="31" t="s">
        <v>23</v>
      </c>
      <c r="I113" s="31">
        <v>6.8</v>
      </c>
      <c r="P113" s="17">
        <f>0.5*(((R111+R112)/(1+P116))+((R117+R118)/(1+P116)))</f>
        <v>96.993018663980479</v>
      </c>
      <c r="R113" s="13"/>
      <c r="AC113" s="132"/>
    </row>
    <row r="114" spans="8:31" x14ac:dyDescent="0.2">
      <c r="P114" s="15">
        <f>MAX(P113,$I$78)</f>
        <v>100</v>
      </c>
      <c r="AE114" s="110"/>
    </row>
    <row r="115" spans="8:31" x14ac:dyDescent="0.2">
      <c r="H115" s="2" t="s">
        <v>9</v>
      </c>
      <c r="I115" s="2"/>
      <c r="P115" s="12">
        <f>$I$73</f>
        <v>6.8</v>
      </c>
      <c r="AE115" s="11"/>
    </row>
    <row r="116" spans="8:31" x14ac:dyDescent="0.2">
      <c r="H116" s="8" t="s">
        <v>10</v>
      </c>
      <c r="I116" s="8">
        <v>105</v>
      </c>
      <c r="N116" s="17">
        <f>0.5*(((P114+P115)/(1+N119))+((P120+P121)/(1+N119)))</f>
        <v>98.319224855046144</v>
      </c>
      <c r="P116" s="14">
        <f>$P$57*EXP(6*$C$15)+($J$111/10000)</f>
        <v>0.10111017752725598</v>
      </c>
      <c r="R116" s="10"/>
    </row>
    <row r="117" spans="8:31" x14ac:dyDescent="0.2">
      <c r="H117" s="8" t="s">
        <v>11</v>
      </c>
      <c r="I117" s="8">
        <v>102.5</v>
      </c>
      <c r="N117" s="15">
        <f>MAX(N116,$I$77)</f>
        <v>102.5</v>
      </c>
      <c r="R117" s="15">
        <v>100</v>
      </c>
    </row>
    <row r="118" spans="8:31" x14ac:dyDescent="0.2">
      <c r="H118" s="8" t="s">
        <v>12</v>
      </c>
      <c r="I118" s="8">
        <v>100</v>
      </c>
      <c r="N118" s="12">
        <f>$I$73</f>
        <v>6.8</v>
      </c>
      <c r="R118" s="12">
        <f>$I$73</f>
        <v>6.8</v>
      </c>
      <c r="W118" s="21"/>
      <c r="X118" s="22"/>
      <c r="Y118" s="23"/>
      <c r="Z118" s="22"/>
      <c r="AA118" s="23"/>
      <c r="AB118" s="22"/>
      <c r="AC118" s="23"/>
      <c r="AD118" s="1"/>
      <c r="AE118" s="1"/>
    </row>
    <row r="119" spans="8:31" x14ac:dyDescent="0.2">
      <c r="L119" s="17">
        <f>0.5*(((N117+N118)/(1+L122))+((N123+N124)/(1+L122)))</f>
        <v>101.82007987833524</v>
      </c>
      <c r="N119" s="14">
        <f>$N$57*EXP(4*$C$15)+($J$111/10000)</f>
        <v>8.6257546857770886E-2</v>
      </c>
      <c r="P119" s="17">
        <f>0.5*(((R117+R118)/(1+P122))+((R123+R124)/(1+P122)))</f>
        <v>98.929573813456841</v>
      </c>
      <c r="R119" s="13"/>
      <c r="W119" s="1"/>
      <c r="X119" s="1"/>
      <c r="Y119" s="1"/>
      <c r="Z119" s="1"/>
      <c r="AA119" s="1"/>
      <c r="AB119" s="1"/>
      <c r="AC119" s="1"/>
      <c r="AD119" s="1"/>
      <c r="AE119" s="1"/>
    </row>
    <row r="120" spans="8:31" x14ac:dyDescent="0.2">
      <c r="L120" s="15">
        <f>MAX(L119,$I$76)</f>
        <v>105</v>
      </c>
      <c r="P120" s="15">
        <f>MAX(P119,$I$78)</f>
        <v>100</v>
      </c>
    </row>
    <row r="121" spans="8:31" x14ac:dyDescent="0.2">
      <c r="L121" s="12">
        <f>$I$73</f>
        <v>6.8</v>
      </c>
      <c r="P121" s="12">
        <f>$I$73</f>
        <v>6.8</v>
      </c>
    </row>
    <row r="122" spans="8:31" x14ac:dyDescent="0.2">
      <c r="L122" s="16">
        <f>L139*EXP(2*$C$15)+($J$111/10000)</f>
        <v>7.3462131738675912E-2</v>
      </c>
      <c r="N122" s="17">
        <f>0.5*(((P120+P121)/(1+N125))+((P126+P127)/(1+N125)))</f>
        <v>100.07432623913849</v>
      </c>
      <c r="P122" s="14">
        <f>$P$57*EXP(4*$C$15)+($J$111/10000)</f>
        <v>7.9555848500709764E-2</v>
      </c>
      <c r="R122" s="10"/>
    </row>
    <row r="123" spans="8:31" x14ac:dyDescent="0.2">
      <c r="J123" s="32">
        <f>0.5*(((L120+L121)/(1+J124))+((L126+L127)/(1+J124)))</f>
        <v>105.30000000112535</v>
      </c>
      <c r="N123" s="15">
        <f>MAX(N122,$I$77)</f>
        <v>102.5</v>
      </c>
      <c r="R123" s="15">
        <v>100</v>
      </c>
    </row>
    <row r="124" spans="8:31" x14ac:dyDescent="0.2">
      <c r="J124" s="18">
        <f>J139+($J$111/10000)</f>
        <v>6.1728395050381621E-2</v>
      </c>
      <c r="N124" s="12">
        <f>$I$73</f>
        <v>6.8</v>
      </c>
      <c r="R124" s="12">
        <f>$I$73</f>
        <v>6.8</v>
      </c>
    </row>
    <row r="125" spans="8:31" x14ac:dyDescent="0.2">
      <c r="L125" s="17">
        <f>0.5*(((N123+N124)/(1+L128))+((N129+N130)/(1+L128)))</f>
        <v>103.12519438916766</v>
      </c>
      <c r="N125" s="14">
        <f>$N$57*EXP(2*$C$15)+($J$111/10000)</f>
        <v>6.8984186775216505E-2</v>
      </c>
      <c r="P125" s="17">
        <f>0.5*(((R123+R124)/(1+P128))+((R129+R130)/(1+P128)))</f>
        <v>100.35574450364632</v>
      </c>
      <c r="R125" s="13"/>
    </row>
    <row r="126" spans="8:31" x14ac:dyDescent="0.2">
      <c r="L126" s="15">
        <f>MAX(L125,$I$76)</f>
        <v>105</v>
      </c>
      <c r="P126" s="15">
        <f>MAX(P125,$I$78)</f>
        <v>100.35574450364632</v>
      </c>
    </row>
    <row r="127" spans="8:31" x14ac:dyDescent="0.2">
      <c r="L127" s="12">
        <f>$I$73</f>
        <v>6.8</v>
      </c>
      <c r="N127" s="11"/>
      <c r="P127" s="12">
        <f>$I$73</f>
        <v>6.8</v>
      </c>
    </row>
    <row r="128" spans="8:31" x14ac:dyDescent="0.2">
      <c r="L128" s="19">
        <f>L139+($J$111/10000)</f>
        <v>5.9876790026016709E-2</v>
      </c>
      <c r="N128" s="17">
        <f>0.5*(((P126+P127)/(1+N131))+((P132+P133)/(1+N131)))</f>
        <v>101.89932801405661</v>
      </c>
      <c r="P128" s="14">
        <f>$P$57*EXP(2*$C$15)+($J$111/10000)</f>
        <v>6.4214116772553467E-2</v>
      </c>
      <c r="R128" s="10"/>
    </row>
    <row r="129" spans="10:18" x14ac:dyDescent="0.2">
      <c r="N129" s="15">
        <f>MAX(N128,$I$77)</f>
        <v>102.5</v>
      </c>
      <c r="R129" s="15">
        <v>100</v>
      </c>
    </row>
    <row r="130" spans="10:18" x14ac:dyDescent="0.2">
      <c r="N130" s="12">
        <f>$I$73</f>
        <v>6.8</v>
      </c>
      <c r="R130" s="12">
        <f>$I$73</f>
        <v>6.8</v>
      </c>
    </row>
    <row r="131" spans="10:18" x14ac:dyDescent="0.2">
      <c r="N131" s="19">
        <f>N139+($J$111/10000)</f>
        <v>5.6689521694062009E-2</v>
      </c>
      <c r="P131" s="17">
        <f>0.5*(((R129+R130)/(1+P134))+((R135+R136)/(1+P134)))</f>
        <v>101.39615985659331</v>
      </c>
      <c r="R131" s="13"/>
    </row>
    <row r="132" spans="10:18" x14ac:dyDescent="0.2">
      <c r="P132" s="15">
        <f>MAX(P131,$I$78)</f>
        <v>101.39615985659331</v>
      </c>
    </row>
    <row r="133" spans="10:18" x14ac:dyDescent="0.2">
      <c r="P133" s="12">
        <f>$I$73</f>
        <v>6.8</v>
      </c>
    </row>
    <row r="134" spans="10:18" x14ac:dyDescent="0.2">
      <c r="P134" s="20">
        <f>P139+($J$111/10000)</f>
        <v>5.3294327428666285E-2</v>
      </c>
      <c r="R134" s="10"/>
    </row>
    <row r="135" spans="10:18" x14ac:dyDescent="0.2">
      <c r="R135" s="15">
        <v>100</v>
      </c>
    </row>
    <row r="136" spans="10:18" x14ac:dyDescent="0.2">
      <c r="R136" s="12">
        <f>$I$73</f>
        <v>6.8</v>
      </c>
    </row>
    <row r="137" spans="10:18" x14ac:dyDescent="0.2">
      <c r="R137" s="13"/>
    </row>
    <row r="139" spans="10:18" x14ac:dyDescent="0.2">
      <c r="J139" s="21">
        <f>$C$8</f>
        <v>3.5400000000000001E-2</v>
      </c>
      <c r="K139" s="22"/>
      <c r="L139" s="23">
        <v>3.3548394975635089E-2</v>
      </c>
      <c r="M139" s="22"/>
      <c r="N139" s="23">
        <v>3.0361126643680385E-2</v>
      </c>
      <c r="O139" s="22"/>
      <c r="P139" s="23">
        <v>2.6965932378284669E-2</v>
      </c>
      <c r="Q139" s="1"/>
      <c r="R139" s="1"/>
    </row>
    <row r="140" spans="10:18" x14ac:dyDescent="0.2">
      <c r="J140" s="24" t="s">
        <v>13</v>
      </c>
      <c r="K140" s="24"/>
      <c r="L140" s="24" t="s">
        <v>14</v>
      </c>
      <c r="M140" s="24"/>
      <c r="N140" s="24" t="s">
        <v>15</v>
      </c>
      <c r="O140" s="24"/>
      <c r="P140" s="24" t="s">
        <v>16</v>
      </c>
      <c r="Q140" s="24"/>
      <c r="R140" s="24" t="s">
        <v>17</v>
      </c>
    </row>
    <row r="148" spans="8:30" x14ac:dyDescent="0.2">
      <c r="M148" s="143" t="s">
        <v>41</v>
      </c>
      <c r="N148" s="143"/>
      <c r="O148" s="143"/>
      <c r="P148" s="143"/>
      <c r="Q148" s="143"/>
      <c r="X148" s="133" t="s">
        <v>123</v>
      </c>
      <c r="Y148" s="133"/>
      <c r="Z148" s="133"/>
      <c r="AA148" s="133"/>
      <c r="AB148" s="133"/>
    </row>
    <row r="149" spans="8:30" x14ac:dyDescent="0.2">
      <c r="H149" t="s">
        <v>34</v>
      </c>
      <c r="I149" t="s">
        <v>35</v>
      </c>
    </row>
    <row r="151" spans="8:30" x14ac:dyDescent="0.2">
      <c r="H151" t="s">
        <v>30</v>
      </c>
      <c r="I151" s="9"/>
      <c r="J151" s="34">
        <v>105.3</v>
      </c>
    </row>
    <row r="152" spans="8:30" x14ac:dyDescent="0.2">
      <c r="H152" t="s">
        <v>31</v>
      </c>
      <c r="J152" s="33">
        <f>J165-J151</f>
        <v>-0.19798286835728618</v>
      </c>
      <c r="R152" s="10"/>
      <c r="AD152" s="10"/>
    </row>
    <row r="153" spans="8:30" x14ac:dyDescent="0.2">
      <c r="H153" s="35" t="s">
        <v>32</v>
      </c>
      <c r="I153" s="35"/>
      <c r="J153" s="36">
        <f>J111</f>
        <v>263.28395050381619</v>
      </c>
      <c r="K153" t="s">
        <v>33</v>
      </c>
      <c r="R153" s="15">
        <v>100</v>
      </c>
      <c r="V153" t="s">
        <v>27</v>
      </c>
      <c r="AD153" s="15">
        <v>100</v>
      </c>
    </row>
    <row r="154" spans="8:30" x14ac:dyDescent="0.2">
      <c r="P154" s="11"/>
      <c r="R154" s="12">
        <f>$I$155</f>
        <v>6.8</v>
      </c>
      <c r="AB154" s="11"/>
      <c r="AD154" s="12">
        <f>$V$159</f>
        <v>6.8</v>
      </c>
    </row>
    <row r="155" spans="8:30" x14ac:dyDescent="0.2">
      <c r="H155" s="31" t="s">
        <v>23</v>
      </c>
      <c r="I155" s="31">
        <v>6.8</v>
      </c>
      <c r="P155" s="17">
        <f>0.5*(((R153+R154)/(1+P158))+((R159+R160)/(1+P158)))</f>
        <v>96.705677699333194</v>
      </c>
      <c r="R155" s="16"/>
      <c r="U155" t="s">
        <v>30</v>
      </c>
      <c r="V155" s="9"/>
      <c r="W155" s="34">
        <v>105.3</v>
      </c>
      <c r="AB155" s="17">
        <f>0.5*(((AD153+AD154)/(1+AB158))+((AD159+AD160)/(1+AB158)))</f>
        <v>97.28183057778341</v>
      </c>
      <c r="AD155" s="13"/>
    </row>
    <row r="156" spans="8:30" x14ac:dyDescent="0.2">
      <c r="P156" s="15">
        <f>MAX(P155,$I$160)</f>
        <v>100</v>
      </c>
      <c r="U156" t="s">
        <v>31</v>
      </c>
      <c r="W156" s="33">
        <f>W169-W155</f>
        <v>-105.3</v>
      </c>
      <c r="AB156" s="15">
        <f>MAX(AB155,$I$160)</f>
        <v>100</v>
      </c>
    </row>
    <row r="157" spans="8:30" x14ac:dyDescent="0.2">
      <c r="H157" s="2" t="s">
        <v>9</v>
      </c>
      <c r="I157" s="2"/>
      <c r="P157" s="12">
        <f>$I$155</f>
        <v>6.8</v>
      </c>
      <c r="U157" s="35" t="s">
        <v>32</v>
      </c>
      <c r="V157" s="35"/>
      <c r="W157" s="36">
        <f>J111</f>
        <v>263.28395050381619</v>
      </c>
      <c r="AB157" s="12">
        <f>$V$159</f>
        <v>6.8</v>
      </c>
    </row>
    <row r="158" spans="8:30" x14ac:dyDescent="0.2">
      <c r="H158" s="8" t="s">
        <v>10</v>
      </c>
      <c r="I158" s="8">
        <v>105</v>
      </c>
      <c r="N158" s="17">
        <f>0.5*(((P156+P157)/(1+N161))+((P162+P163)/(1+N161)))</f>
        <v>98.069536284460256</v>
      </c>
      <c r="P158" s="16">
        <f>$P$181*EXP(6*$C$15)+($J$153/10000)</f>
        <v>0.10438189918952823</v>
      </c>
      <c r="R158" s="10"/>
      <c r="Z158" s="17">
        <f>0.5*(((AB156+AB157)/(1+Z161))+((AB162+AB163)/(1+Z161)))</f>
        <v>98.570179496261261</v>
      </c>
      <c r="AB158" s="16">
        <f>$AB$181*EXP(6*$C$15)+($W$157/10000)</f>
        <v>9.7841183350329403E-2</v>
      </c>
      <c r="AD158" s="10"/>
    </row>
    <row r="159" spans="8:30" x14ac:dyDescent="0.2">
      <c r="H159" s="8" t="s">
        <v>11</v>
      </c>
      <c r="I159" s="8">
        <v>102.5</v>
      </c>
      <c r="N159" s="15">
        <f>MAX(N158,$I$159)</f>
        <v>102.5</v>
      </c>
      <c r="R159" s="15">
        <v>100</v>
      </c>
      <c r="U159" s="31" t="s">
        <v>23</v>
      </c>
      <c r="V159" s="31">
        <v>6.8</v>
      </c>
      <c r="Z159" s="15">
        <f>MAX(Z158,$I$159)</f>
        <v>102.5</v>
      </c>
      <c r="AD159" s="15">
        <v>100</v>
      </c>
    </row>
    <row r="160" spans="8:30" x14ac:dyDescent="0.2">
      <c r="H160" s="8" t="s">
        <v>12</v>
      </c>
      <c r="I160" s="8">
        <v>100</v>
      </c>
      <c r="N160" s="12">
        <f>$I$155</f>
        <v>6.8</v>
      </c>
      <c r="R160" s="12">
        <f>$I$155</f>
        <v>6.8</v>
      </c>
      <c r="Z160" s="12">
        <f>$V$159</f>
        <v>6.8</v>
      </c>
      <c r="AD160" s="12">
        <f>$V$159</f>
        <v>6.8</v>
      </c>
    </row>
    <row r="161" spans="5:30" x14ac:dyDescent="0.2">
      <c r="L161" s="17">
        <f>0.5*(((N159+N160)/(1+L164))+((N165+N166)/(1+L164)))</f>
        <v>101.59786049132812</v>
      </c>
      <c r="N161" s="16">
        <f>$N$181*EXP(4*$C$15)+($J$153/10000)</f>
        <v>8.9023197685121985E-2</v>
      </c>
      <c r="P161" s="17">
        <f>0.5*(((R159+R160)/(1+P164))+((R165+R166)/(1+P164)))</f>
        <v>98.716631759007726</v>
      </c>
      <c r="R161" s="16"/>
      <c r="X161" s="17">
        <f>0.5*(((Z159+Z160)/(1+X164))+((Z165+Z166)/(1+X164)))</f>
        <v>102.0431915672946</v>
      </c>
      <c r="Z161" s="16">
        <f>$Z$181*EXP(4*$C$15)+($W$157/10000)</f>
        <v>8.3491990638516506E-2</v>
      </c>
      <c r="AB161" s="17">
        <f>0.5*(((AD159+AD160)/(1+AB164))+((AD165+AD166)/(1+AB164)))</f>
        <v>99.143257857541016</v>
      </c>
      <c r="AD161" s="13"/>
    </row>
    <row r="162" spans="5:30" x14ac:dyDescent="0.2">
      <c r="L162" s="15">
        <f>MAX(L161,$I$158)</f>
        <v>105</v>
      </c>
      <c r="P162" s="15">
        <f>MAX(P161,$I$160)</f>
        <v>100</v>
      </c>
      <c r="X162" s="15">
        <f>MAX(X161,$I$158)</f>
        <v>105</v>
      </c>
      <c r="AB162" s="15">
        <f>MAX(AB161,$I$160)</f>
        <v>100</v>
      </c>
    </row>
    <row r="163" spans="5:30" x14ac:dyDescent="0.2">
      <c r="L163" s="12">
        <f>$I$155</f>
        <v>6.8</v>
      </c>
      <c r="P163" s="12">
        <f>$I$155</f>
        <v>6.8</v>
      </c>
      <c r="X163" s="12">
        <f>$V$159</f>
        <v>6.8</v>
      </c>
      <c r="AB163" s="12">
        <f>$V$159</f>
        <v>6.8</v>
      </c>
    </row>
    <row r="164" spans="5:30" x14ac:dyDescent="0.2">
      <c r="E164" s="2" t="s">
        <v>0</v>
      </c>
      <c r="F164" s="2" t="s">
        <v>1</v>
      </c>
      <c r="G164" s="2" t="s">
        <v>42</v>
      </c>
      <c r="H164" s="2" t="s">
        <v>43</v>
      </c>
      <c r="L164" s="16">
        <f>$L$181*EXP(2*$C$15)+($J$153/10000)</f>
        <v>7.5810056151027733E-2</v>
      </c>
      <c r="N164" s="17">
        <f>0.5*(((P162+P163)/(1+N167))+((P168+P169)/(1+N167)))</f>
        <v>99.817519882527861</v>
      </c>
      <c r="P164" s="16">
        <f>$P$181*EXP(4*$C$15)+($J$153/10000)</f>
        <v>8.1884562884254691E-2</v>
      </c>
      <c r="R164" s="10"/>
      <c r="X164" s="16">
        <f>$X$181*EXP(2*$C$15)+($W$157/10000)</f>
        <v>7.1115067269527196E-2</v>
      </c>
      <c r="Z164" s="17">
        <f>0.5*(((AB162+AB163)/(1+Z167))+((AB168+AB169)/(1+Z167)))</f>
        <v>100.33224071690162</v>
      </c>
      <c r="AB164" s="16">
        <f>$AB$181*EXP(4*$C$15)+($W$157/10000)</f>
        <v>7.7229075460289634E-2</v>
      </c>
      <c r="AD164" s="10"/>
    </row>
    <row r="165" spans="5:30" x14ac:dyDescent="0.2">
      <c r="E165" s="3">
        <v>1</v>
      </c>
      <c r="F165" s="4">
        <v>3.5400000000000001E-2</v>
      </c>
      <c r="G165" s="38">
        <f>F165+(20/10000)</f>
        <v>3.7400000000000003E-2</v>
      </c>
      <c r="H165" s="38">
        <f>F165-(20/10000)</f>
        <v>3.3399999999999999E-2</v>
      </c>
      <c r="J165" s="17">
        <f>0.5*(((L162+L163)/(1+J166))+((L168+L169)/(1+J166)))</f>
        <v>105.10201713164271</v>
      </c>
      <c r="N165" s="15">
        <f>MAX(N164,$I$159)</f>
        <v>102.5</v>
      </c>
      <c r="R165" s="15">
        <v>100</v>
      </c>
      <c r="V165" s="17">
        <f>0.5*(((X162+X163)/(1+V166))+((X168+X169)/(1+V166)))</f>
        <v>105.4987301672565</v>
      </c>
      <c r="Z165" s="15">
        <f>MAX(Z164,$I$159)</f>
        <v>102.5</v>
      </c>
      <c r="AD165" s="15">
        <v>100</v>
      </c>
    </row>
    <row r="166" spans="5:30" x14ac:dyDescent="0.2">
      <c r="E166" s="3">
        <v>2</v>
      </c>
      <c r="F166" s="4">
        <v>3.78E-2</v>
      </c>
      <c r="G166" s="38">
        <f>F166+(20/10000)</f>
        <v>3.9800000000000002E-2</v>
      </c>
      <c r="H166" s="38">
        <f t="shared" ref="H166:H167" si="1">F166-(20/10000)</f>
        <v>3.5799999999999998E-2</v>
      </c>
      <c r="J166" s="18">
        <f>$J$181+($J$153/10000)</f>
        <v>6.3728395050381623E-2</v>
      </c>
      <c r="N166" s="12">
        <f>$I$155</f>
        <v>6.8</v>
      </c>
      <c r="R166" s="12">
        <f>$I$155</f>
        <v>6.8</v>
      </c>
      <c r="V166" s="18">
        <f>V181+($W$157/10000)</f>
        <v>5.9728395050381619E-2</v>
      </c>
      <c r="Z166" s="12">
        <f>$V$159</f>
        <v>6.8</v>
      </c>
      <c r="AD166" s="12">
        <f>$V$159</f>
        <v>6.8</v>
      </c>
    </row>
    <row r="167" spans="5:30" x14ac:dyDescent="0.2">
      <c r="E167" s="3">
        <v>3</v>
      </c>
      <c r="F167" s="4">
        <v>3.9699999999999999E-2</v>
      </c>
      <c r="G167" s="38">
        <f>F167+(20/10000)</f>
        <v>4.1700000000000001E-2</v>
      </c>
      <c r="H167" s="38">
        <f t="shared" si="1"/>
        <v>3.7699999999999997E-2</v>
      </c>
      <c r="L167" s="17">
        <f>0.5*(((N165+N166)/(1+L170))+((N171+N172)/(1+L170)))</f>
        <v>102.96284556693092</v>
      </c>
      <c r="N167" s="16">
        <f>$N$181*EXP(2*$C$15)+($J$153/10000)</f>
        <v>7.0952694957248874E-2</v>
      </c>
      <c r="P167" s="17">
        <f>0.5*(((R165+R166)/(1+P170))+((R171+R172)/(1+P170)))</f>
        <v>100.19968384428395</v>
      </c>
      <c r="R167" s="16"/>
      <c r="X167" s="17">
        <f>0.5*(((Z165+Z166)/(1+X170))+((Z171+Z172)/(1+X170)))</f>
        <v>103.28799625042132</v>
      </c>
      <c r="Z167" s="16">
        <f>$Z$181*EXP(2*$C$15)+($W$157/10000)</f>
        <v>6.7015745932419671E-2</v>
      </c>
      <c r="AB167" s="17">
        <f>0.5*(((AD165+AD166)/(1+AB170))+((AD171+AD172)/(1+AB170)))</f>
        <v>100.51216133923175</v>
      </c>
      <c r="AD167" s="13"/>
    </row>
    <row r="168" spans="5:30" x14ac:dyDescent="0.2">
      <c r="E168" s="3">
        <v>4</v>
      </c>
      <c r="F168" s="4">
        <v>4.1300000000000003E-2</v>
      </c>
      <c r="G168" s="38">
        <f>F168+(20/10000)</f>
        <v>4.3300000000000005E-2</v>
      </c>
      <c r="H168" s="38">
        <f>F168-(20/10000)</f>
        <v>3.9300000000000002E-2</v>
      </c>
      <c r="L168" s="15">
        <f>MAX(L167,$I$158)</f>
        <v>105</v>
      </c>
      <c r="P168" s="15">
        <f>MAX(P167,$I$160)</f>
        <v>100.19968384428395</v>
      </c>
      <c r="X168" s="15">
        <f>MAX(X167,$I$158)</f>
        <v>105</v>
      </c>
      <c r="AB168" s="15">
        <f>MAX(AB167,$I$160)</f>
        <v>100.51216133923175</v>
      </c>
    </row>
    <row r="169" spans="5:30" x14ac:dyDescent="0.2">
      <c r="L169" s="12">
        <f>$I$155</f>
        <v>6.8</v>
      </c>
      <c r="N169" s="11"/>
      <c r="P169" s="12">
        <f>$I$155</f>
        <v>6.8</v>
      </c>
      <c r="X169" s="12">
        <f>$V$159</f>
        <v>6.8</v>
      </c>
      <c r="Z169" s="11"/>
      <c r="AB169" s="12">
        <f>$V$159</f>
        <v>6.8</v>
      </c>
    </row>
    <row r="170" spans="5:30" x14ac:dyDescent="0.2">
      <c r="L170" s="16">
        <f>$L$181+($J$153/10000)</f>
        <v>6.154797294281858E-2</v>
      </c>
      <c r="N170" s="17">
        <f>0.5*(((P168+P169)/(1+N173))+((P174+P175)/(1+N173)))</f>
        <v>101.6370384803015</v>
      </c>
      <c r="P170" s="16">
        <f>$P$181*EXP(2*$C$15)+($J$153/10000)</f>
        <v>6.5871626560951163E-2</v>
      </c>
      <c r="R170" s="10"/>
      <c r="X170" s="16">
        <f>$X$181+($W$157/10000)</f>
        <v>5.8206219191266076E-2</v>
      </c>
      <c r="Z170" s="17">
        <f>0.5*(((AB168+AB169)/(1+Z173))+((AB174+AB175)/(1+Z173)))</f>
        <v>102.16255374212719</v>
      </c>
      <c r="AB170" s="16">
        <f>$AB$181*EXP(2*$C$15)+($W$157/10000)</f>
        <v>6.2557988774578299E-2</v>
      </c>
      <c r="AD170" s="10"/>
    </row>
    <row r="171" spans="5:30" x14ac:dyDescent="0.2">
      <c r="N171" s="15">
        <f>MAX(N170,$I$159)</f>
        <v>102.5</v>
      </c>
      <c r="R171" s="15">
        <v>100</v>
      </c>
      <c r="Z171" s="15">
        <f>MAX(Z170,$I$159)</f>
        <v>102.5</v>
      </c>
      <c r="AD171" s="15">
        <v>100</v>
      </c>
    </row>
    <row r="172" spans="5:30" x14ac:dyDescent="0.2">
      <c r="N172" s="12">
        <f>$I$155</f>
        <v>6.8</v>
      </c>
      <c r="R172" s="12">
        <f>$I$155</f>
        <v>6.8</v>
      </c>
      <c r="Z172" s="12">
        <f>$V$159</f>
        <v>6.8</v>
      </c>
      <c r="AD172" s="12">
        <f>$V$159</f>
        <v>6.8</v>
      </c>
    </row>
    <row r="173" spans="5:30" x14ac:dyDescent="0.2">
      <c r="H173" s="134" t="s">
        <v>36</v>
      </c>
      <c r="I173" s="135"/>
      <c r="J173" s="39">
        <v>105.3</v>
      </c>
      <c r="N173" s="16">
        <f>$N$181+($J$153/10000)</f>
        <v>5.8090647398148024E-2</v>
      </c>
      <c r="P173" s="17">
        <f>0.5*(((R171+R172)/(1+P176))+((R177+R178)/(1+P176)))</f>
        <v>101.28271584622145</v>
      </c>
      <c r="R173" s="16"/>
      <c r="Z173" s="16">
        <f>$Z$181+($W$157/10000)</f>
        <v>5.5288443920045394E-2</v>
      </c>
      <c r="AB173" s="17">
        <f>0.5*(((AD171+AD172)/(1+AB176))+((AD177+AD178)/(1+AB176)))</f>
        <v>101.5097633916231</v>
      </c>
      <c r="AD173" s="13"/>
    </row>
    <row r="174" spans="5:30" x14ac:dyDescent="0.2">
      <c r="H174" s="136" t="s">
        <v>37</v>
      </c>
      <c r="I174" s="137"/>
      <c r="J174" s="40">
        <f>J165</f>
        <v>105.10201713164271</v>
      </c>
      <c r="P174" s="15">
        <f>MAX(P173,$I$160)</f>
        <v>101.28271584622145</v>
      </c>
      <c r="AB174" s="15">
        <f>MAX(AB173,$I$160)</f>
        <v>101.5097633916231</v>
      </c>
    </row>
    <row r="175" spans="5:30" x14ac:dyDescent="0.2">
      <c r="H175" s="138" t="s">
        <v>38</v>
      </c>
      <c r="I175" s="139"/>
      <c r="J175" s="41">
        <f>V165</f>
        <v>105.4987301672565</v>
      </c>
      <c r="P175" s="12">
        <f>$I$155</f>
        <v>6.8</v>
      </c>
      <c r="AB175" s="12">
        <f>$V$159</f>
        <v>6.8</v>
      </c>
    </row>
    <row r="176" spans="5:30" x14ac:dyDescent="0.2">
      <c r="H176" s="140" t="s">
        <v>40</v>
      </c>
      <c r="I176" s="141"/>
      <c r="J176" s="37">
        <f>(J175-J174)/(2*J173*(20/10000))</f>
        <v>0.94186380725020369</v>
      </c>
      <c r="P176" s="16">
        <f>$P$181+($J$153/10000)</f>
        <v>5.4474093705736311E-2</v>
      </c>
      <c r="R176" s="10"/>
      <c r="AB176" s="16">
        <f>$AB$181+($W$157/10000)</f>
        <v>5.2115544669011304E-2</v>
      </c>
      <c r="AD176" s="10"/>
    </row>
    <row r="177" spans="8:30" x14ac:dyDescent="0.2">
      <c r="H177" s="140" t="s">
        <v>39</v>
      </c>
      <c r="I177" s="141"/>
      <c r="J177" s="37">
        <f>(J175+J174-2*J173)/(J173*(20/10000)^2)</f>
        <v>1.7742139107293979</v>
      </c>
      <c r="R177" s="15">
        <v>100</v>
      </c>
      <c r="AD177" s="15">
        <v>100</v>
      </c>
    </row>
    <row r="178" spans="8:30" x14ac:dyDescent="0.2">
      <c r="R178" s="12">
        <f>$I$155</f>
        <v>6.8</v>
      </c>
      <c r="AD178" s="12">
        <f>$V$159</f>
        <v>6.8</v>
      </c>
    </row>
    <row r="179" spans="8:30" x14ac:dyDescent="0.2">
      <c r="R179" s="16"/>
      <c r="AD179" s="13"/>
    </row>
    <row r="181" spans="8:30" x14ac:dyDescent="0.2">
      <c r="J181" s="21">
        <f>G165</f>
        <v>3.7400000000000003E-2</v>
      </c>
      <c r="K181" s="22"/>
      <c r="L181" s="23">
        <v>3.521957789243696E-2</v>
      </c>
      <c r="M181" s="22"/>
      <c r="N181" s="23">
        <v>3.1762252347766404E-2</v>
      </c>
      <c r="O181" s="22"/>
      <c r="P181" s="23">
        <v>2.8145698655354691E-2</v>
      </c>
      <c r="Q181" s="1"/>
      <c r="R181" s="1"/>
      <c r="V181" s="21">
        <f>H165</f>
        <v>3.3399999999999999E-2</v>
      </c>
      <c r="W181" s="22"/>
      <c r="X181" s="23">
        <v>3.1877824140884456E-2</v>
      </c>
      <c r="Y181" s="22"/>
      <c r="Z181" s="23">
        <v>2.8960048869663777E-2</v>
      </c>
      <c r="AA181" s="22"/>
      <c r="AB181" s="23">
        <v>2.5787149618629684E-2</v>
      </c>
      <c r="AC181" s="1"/>
      <c r="AD181" s="1"/>
    </row>
    <row r="182" spans="8:30" x14ac:dyDescent="0.2">
      <c r="J182" s="24" t="s">
        <v>13</v>
      </c>
      <c r="K182" s="24"/>
      <c r="L182" s="24" t="s">
        <v>14</v>
      </c>
      <c r="M182" s="24"/>
      <c r="N182" s="24" t="s">
        <v>15</v>
      </c>
      <c r="O182" s="24"/>
      <c r="P182" s="24" t="s">
        <v>16</v>
      </c>
      <c r="Q182" s="24"/>
      <c r="R182" s="24" t="s">
        <v>17</v>
      </c>
      <c r="V182" s="24" t="s">
        <v>13</v>
      </c>
      <c r="W182" s="24"/>
      <c r="X182" s="24" t="s">
        <v>14</v>
      </c>
      <c r="Y182" s="24"/>
      <c r="Z182" s="24" t="s">
        <v>15</v>
      </c>
      <c r="AA182" s="24"/>
      <c r="AB182" s="24" t="s">
        <v>16</v>
      </c>
      <c r="AC182" s="24"/>
      <c r="AD182" s="24" t="s">
        <v>17</v>
      </c>
    </row>
  </sheetData>
  <mergeCells count="9">
    <mergeCell ref="E16:F16"/>
    <mergeCell ref="H75:I75"/>
    <mergeCell ref="M148:Q148"/>
    <mergeCell ref="X148:AB148"/>
    <mergeCell ref="H173:I173"/>
    <mergeCell ref="H174:I174"/>
    <mergeCell ref="H175:I175"/>
    <mergeCell ref="H177:I177"/>
    <mergeCell ref="H176:I17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07A6-174E-824C-92C7-23CC0D9BC0B2}">
  <dimension ref="B3:Q124"/>
  <sheetViews>
    <sheetView topLeftCell="D88" zoomScale="62" workbookViewId="0">
      <selection activeCell="I94" sqref="I94:Q125"/>
    </sheetView>
  </sheetViews>
  <sheetFormatPr baseColWidth="10" defaultRowHeight="16" x14ac:dyDescent="0.2"/>
  <sheetData>
    <row r="3" spans="2:9" x14ac:dyDescent="0.2">
      <c r="B3" s="9" t="s">
        <v>44</v>
      </c>
      <c r="C3" s="9" t="s">
        <v>45</v>
      </c>
      <c r="D3" s="9"/>
    </row>
    <row r="6" spans="2:9" x14ac:dyDescent="0.2">
      <c r="B6" s="9" t="s">
        <v>46</v>
      </c>
      <c r="C6" s="9"/>
      <c r="D6" s="9" t="s">
        <v>4</v>
      </c>
    </row>
    <row r="7" spans="2:9" x14ac:dyDescent="0.2">
      <c r="B7" s="9" t="s">
        <v>47</v>
      </c>
      <c r="C7" s="9"/>
      <c r="D7" s="9">
        <v>100</v>
      </c>
    </row>
    <row r="9" spans="2:9" x14ac:dyDescent="0.2">
      <c r="B9" s="142" t="s">
        <v>50</v>
      </c>
      <c r="C9" s="142"/>
    </row>
    <row r="10" spans="2:9" x14ac:dyDescent="0.2">
      <c r="B10" s="31" t="s">
        <v>48</v>
      </c>
      <c r="C10" s="42">
        <v>2.8500000000000001E-2</v>
      </c>
      <c r="D10" s="30"/>
    </row>
    <row r="11" spans="2:9" x14ac:dyDescent="0.2">
      <c r="B11" s="31" t="s">
        <v>49</v>
      </c>
      <c r="C11" s="42">
        <v>2.7E-2</v>
      </c>
      <c r="G11" t="s">
        <v>24</v>
      </c>
      <c r="H11" t="s">
        <v>52</v>
      </c>
      <c r="I11" t="s">
        <v>57</v>
      </c>
    </row>
    <row r="12" spans="2:9" x14ac:dyDescent="0.2">
      <c r="B12" s="31" t="s">
        <v>51</v>
      </c>
      <c r="C12" s="42">
        <v>2.5100000000000001E-2</v>
      </c>
      <c r="H12" t="s">
        <v>53</v>
      </c>
      <c r="I12" t="s">
        <v>54</v>
      </c>
    </row>
    <row r="13" spans="2:9" x14ac:dyDescent="0.2">
      <c r="B13" s="31" t="s">
        <v>62</v>
      </c>
      <c r="C13" s="42">
        <v>2.4799999999999999E-2</v>
      </c>
      <c r="H13" t="s">
        <v>55</v>
      </c>
      <c r="I13" s="43">
        <v>5</v>
      </c>
    </row>
    <row r="15" spans="2:9" x14ac:dyDescent="0.2">
      <c r="B15" s="9" t="s">
        <v>5</v>
      </c>
      <c r="C15" s="6">
        <v>0.2</v>
      </c>
    </row>
    <row r="17" spans="7:17" x14ac:dyDescent="0.2">
      <c r="H17" s="9"/>
      <c r="Q17" s="10"/>
    </row>
    <row r="18" spans="7:17" x14ac:dyDescent="0.2">
      <c r="H18" s="9" t="s">
        <v>24</v>
      </c>
      <c r="I18" s="9" t="s">
        <v>58</v>
      </c>
      <c r="Q18" s="15">
        <v>100</v>
      </c>
    </row>
    <row r="19" spans="7:17" x14ac:dyDescent="0.2">
      <c r="O19" s="11"/>
      <c r="Q19" s="45">
        <f>$H$20</f>
        <v>5</v>
      </c>
    </row>
    <row r="20" spans="7:17" x14ac:dyDescent="0.2">
      <c r="G20" s="31" t="s">
        <v>23</v>
      </c>
      <c r="H20" s="44">
        <v>5</v>
      </c>
      <c r="O20" s="17">
        <f>0.5*(((Q18+Q19)/(1+O23))+((Q24+Q25)/(1+O23)))</f>
        <v>97.012128115019053</v>
      </c>
      <c r="Q20" s="13"/>
    </row>
    <row r="21" spans="7:17" x14ac:dyDescent="0.2">
      <c r="O21" s="15">
        <f>MIN(O20,$H$25)</f>
        <v>97.012128115019053</v>
      </c>
    </row>
    <row r="22" spans="7:17" x14ac:dyDescent="0.2">
      <c r="G22" s="142" t="s">
        <v>56</v>
      </c>
      <c r="H22" s="142"/>
      <c r="O22" s="45">
        <f>$H$20</f>
        <v>5</v>
      </c>
    </row>
    <row r="23" spans="7:17" x14ac:dyDescent="0.2">
      <c r="G23" s="3">
        <v>1</v>
      </c>
      <c r="H23" s="3">
        <v>101</v>
      </c>
      <c r="M23" s="17">
        <f>0.5*(((O21+O22)/(1+M26))+((O27+O28)/(1+M26)))</f>
        <v>97.796933686842905</v>
      </c>
      <c r="O23" s="14">
        <f>O29*EXP(2*$C$15)</f>
        <v>8.2338899683866387E-2</v>
      </c>
      <c r="Q23" s="10"/>
    </row>
    <row r="24" spans="7:17" x14ac:dyDescent="0.2">
      <c r="G24" s="3">
        <v>2</v>
      </c>
      <c r="H24" s="3">
        <v>100.5</v>
      </c>
      <c r="M24" s="15">
        <f>MIN(M23,$H$24)</f>
        <v>97.796933686842905</v>
      </c>
      <c r="Q24" s="15">
        <v>100</v>
      </c>
    </row>
    <row r="25" spans="7:17" x14ac:dyDescent="0.2">
      <c r="G25" s="3">
        <v>3</v>
      </c>
      <c r="H25" s="3">
        <v>100</v>
      </c>
      <c r="M25" s="45">
        <f>$H$20</f>
        <v>5</v>
      </c>
      <c r="Q25" s="45">
        <f>$H$20</f>
        <v>5</v>
      </c>
    </row>
    <row r="26" spans="7:17" x14ac:dyDescent="0.2">
      <c r="K26" s="17">
        <f>0.5*(((M24+M25)/(1+K29))+((M30+M31)/(1+K29)))</f>
        <v>100.11587288493848</v>
      </c>
      <c r="M26" s="14">
        <f>M32*EXP(2*$C$15)</f>
        <v>5.5861077305160933E-2</v>
      </c>
      <c r="O26" s="17">
        <f>0.5*(((Q24+Q25)/(1+O29))+((Q30+Q31)/(1+O29)))</f>
        <v>99.507823404443613</v>
      </c>
      <c r="Q26" s="13"/>
    </row>
    <row r="27" spans="7:17" x14ac:dyDescent="0.2">
      <c r="K27" s="15">
        <f>MIN(K26,$H$23)</f>
        <v>100.11587288493848</v>
      </c>
      <c r="O27" s="15">
        <f>MIN(O26,$H$25)</f>
        <v>99.507823404443613</v>
      </c>
    </row>
    <row r="28" spans="7:17" x14ac:dyDescent="0.2">
      <c r="K28" s="45">
        <f>$H$20</f>
        <v>5</v>
      </c>
      <c r="O28" s="45">
        <f>$H$20</f>
        <v>5</v>
      </c>
    </row>
    <row r="29" spans="7:17" x14ac:dyDescent="0.2">
      <c r="K29" s="14">
        <f>K35*EXP(2*$C$15)</f>
        <v>4.0279266836314297E-2</v>
      </c>
      <c r="M29" s="17">
        <f>0.5*(((O27+O28)/(1+M32))+((O33+O34)/(1+M32)))</f>
        <v>100.97299799587314</v>
      </c>
      <c r="O29" s="14">
        <f>O35*EXP(2*$C$15)</f>
        <v>5.51934150266132E-2</v>
      </c>
      <c r="Q29" s="10"/>
    </row>
    <row r="30" spans="7:17" x14ac:dyDescent="0.2">
      <c r="I30" s="32">
        <f>0.5*(((K27+K28)/(1+I31))+((K33+K34)/(1+I31)))</f>
        <v>102.63289882593023</v>
      </c>
      <c r="M30" s="15">
        <f>MIN(M29,$H$24)</f>
        <v>100.5</v>
      </c>
      <c r="Q30" s="15">
        <v>100</v>
      </c>
    </row>
    <row r="31" spans="7:17" x14ac:dyDescent="0.2">
      <c r="I31" s="18">
        <f>I46</f>
        <v>2.8500000000000001E-2</v>
      </c>
      <c r="M31" s="45">
        <f>$H$20</f>
        <v>5</v>
      </c>
      <c r="Q31" s="45">
        <f>$H$20</f>
        <v>5</v>
      </c>
    </row>
    <row r="32" spans="7:17" x14ac:dyDescent="0.2">
      <c r="K32" s="17">
        <f>0.5*(((M30+M31)/(1+K35))+((M36+M37)/(1+K35)))</f>
        <v>102.72638753651412</v>
      </c>
      <c r="M32" s="14">
        <f>M38*EXP(2*$C$15)</f>
        <v>3.7444799910795884E-2</v>
      </c>
      <c r="O32" s="17">
        <f>0.5*(((Q30+Q31)/(1+O35))+((Q36+Q37)/(1+O35)))</f>
        <v>101.253884469523</v>
      </c>
      <c r="Q32" s="13"/>
    </row>
    <row r="33" spans="9:17" x14ac:dyDescent="0.2">
      <c r="K33" s="15">
        <f>MIN(K32,$H$23)</f>
        <v>101</v>
      </c>
      <c r="O33" s="15">
        <f>MIN(O32,$H$25)</f>
        <v>100</v>
      </c>
    </row>
    <row r="34" spans="9:17" x14ac:dyDescent="0.2">
      <c r="K34" s="45">
        <f>$H$20</f>
        <v>5</v>
      </c>
      <c r="M34" s="11"/>
      <c r="O34" s="45">
        <f>$H$20</f>
        <v>5</v>
      </c>
    </row>
    <row r="35" spans="9:17" x14ac:dyDescent="0.2">
      <c r="K35" s="19">
        <f>$K$46</f>
        <v>2.7E-2</v>
      </c>
      <c r="M35" s="17">
        <f>0.5*(((O33+O34)/(1+M38))+((O39+O40)/(1+M38)))</f>
        <v>102.42903131401816</v>
      </c>
      <c r="O35" s="14">
        <f>O41*EXP(2*$C$15)</f>
        <v>3.6997252501503507E-2</v>
      </c>
      <c r="Q35" s="10"/>
    </row>
    <row r="36" spans="9:17" x14ac:dyDescent="0.2">
      <c r="M36" s="15">
        <f>MIN(M35,$H$24)</f>
        <v>100.5</v>
      </c>
      <c r="Q36" s="15">
        <v>100</v>
      </c>
    </row>
    <row r="37" spans="9:17" x14ac:dyDescent="0.2">
      <c r="M37" s="45">
        <f>$H$20</f>
        <v>5</v>
      </c>
      <c r="Q37" s="45">
        <f>$H$20</f>
        <v>5</v>
      </c>
    </row>
    <row r="38" spans="9:17" x14ac:dyDescent="0.2">
      <c r="M38" s="19">
        <f>$M$46</f>
        <v>2.5100000000000001E-2</v>
      </c>
      <c r="O38" s="17">
        <f>0.5*(((Q36+Q37)/(1+O41))+((Q42+Q43)/(1+O41)))</f>
        <v>102.45901639344262</v>
      </c>
      <c r="Q38" s="13"/>
    </row>
    <row r="39" spans="9:17" x14ac:dyDescent="0.2">
      <c r="O39" s="15">
        <f>MIN(O38,$H$25)</f>
        <v>100</v>
      </c>
    </row>
    <row r="40" spans="9:17" x14ac:dyDescent="0.2">
      <c r="O40" s="45">
        <f>$H$20</f>
        <v>5</v>
      </c>
    </row>
    <row r="41" spans="9:17" x14ac:dyDescent="0.2">
      <c r="O41" s="20">
        <f>$O$46</f>
        <v>2.4799999999999999E-2</v>
      </c>
      <c r="Q41" s="10"/>
    </row>
    <row r="42" spans="9:17" x14ac:dyDescent="0.2">
      <c r="Q42" s="15">
        <v>100</v>
      </c>
    </row>
    <row r="43" spans="9:17" x14ac:dyDescent="0.2">
      <c r="Q43" s="45">
        <f>$H$20</f>
        <v>5</v>
      </c>
    </row>
    <row r="44" spans="9:17" x14ac:dyDescent="0.2">
      <c r="Q44" s="13"/>
    </row>
    <row r="46" spans="9:17" x14ac:dyDescent="0.2">
      <c r="I46" s="21">
        <f>C10</f>
        <v>2.8500000000000001E-2</v>
      </c>
      <c r="J46" s="22"/>
      <c r="K46" s="23">
        <f>C11</f>
        <v>2.7E-2</v>
      </c>
      <c r="L46" s="22"/>
      <c r="M46" s="23">
        <f>C12</f>
        <v>2.5100000000000001E-2</v>
      </c>
      <c r="N46" s="22"/>
      <c r="O46" s="23">
        <f>C13</f>
        <v>2.4799999999999999E-2</v>
      </c>
      <c r="P46" s="1"/>
      <c r="Q46" s="1"/>
    </row>
    <row r="47" spans="9:17" x14ac:dyDescent="0.2">
      <c r="I47" s="24" t="s">
        <v>13</v>
      </c>
      <c r="J47" s="24"/>
      <c r="K47" s="24" t="s">
        <v>14</v>
      </c>
      <c r="L47" s="24"/>
      <c r="M47" s="24" t="s">
        <v>15</v>
      </c>
      <c r="N47" s="24"/>
      <c r="O47" s="24" t="s">
        <v>16</v>
      </c>
      <c r="P47" s="24"/>
      <c r="Q47" s="24" t="s">
        <v>17</v>
      </c>
    </row>
    <row r="52" spans="8:17" x14ac:dyDescent="0.2">
      <c r="H52" s="9" t="s">
        <v>25</v>
      </c>
      <c r="I52" s="9" t="s">
        <v>59</v>
      </c>
    </row>
    <row r="54" spans="8:17" x14ac:dyDescent="0.2">
      <c r="H54" s="31" t="s">
        <v>60</v>
      </c>
      <c r="I54" s="46">
        <v>0.04</v>
      </c>
      <c r="K54">
        <f>100/10000</f>
        <v>0.01</v>
      </c>
      <c r="L54">
        <f>1%</f>
        <v>0.01</v>
      </c>
    </row>
    <row r="55" spans="8:17" x14ac:dyDescent="0.2">
      <c r="Q55" s="10"/>
    </row>
    <row r="56" spans="8:17" x14ac:dyDescent="0.2">
      <c r="H56" s="142" t="s">
        <v>60</v>
      </c>
      <c r="I56" s="142"/>
      <c r="Q56" s="15">
        <v>100</v>
      </c>
    </row>
    <row r="57" spans="8:17" x14ac:dyDescent="0.2">
      <c r="H57" s="3">
        <v>1</v>
      </c>
      <c r="I57" s="4">
        <f>I54</f>
        <v>0.04</v>
      </c>
      <c r="O57" s="11"/>
      <c r="Q57" s="45">
        <f>100*$I$60</f>
        <v>7.0000000000000009</v>
      </c>
    </row>
    <row r="58" spans="8:17" x14ac:dyDescent="0.2">
      <c r="H58" s="3">
        <v>2</v>
      </c>
      <c r="I58" s="4">
        <f>I57+(100/10000)</f>
        <v>0.05</v>
      </c>
      <c r="O58" s="17">
        <f>0.5*(((Q56+Q57)/(1+O61))+((Q62+Q63)/(1+O61)))</f>
        <v>98.859978174352761</v>
      </c>
      <c r="Q58" s="13"/>
    </row>
    <row r="59" spans="8:17" x14ac:dyDescent="0.2">
      <c r="H59" s="3">
        <v>3</v>
      </c>
      <c r="I59" s="4">
        <f>I58+(100/10000)</f>
        <v>6.0000000000000005E-2</v>
      </c>
      <c r="O59" s="15">
        <f>MIN(O58,$I$65)</f>
        <v>98.859978174352761</v>
      </c>
    </row>
    <row r="60" spans="8:17" x14ac:dyDescent="0.2">
      <c r="H60" s="3">
        <v>4</v>
      </c>
      <c r="I60" s="4">
        <f>I59+(100/10000)</f>
        <v>7.0000000000000007E-2</v>
      </c>
      <c r="O60" s="45">
        <f>100*$I$59</f>
        <v>6.0000000000000009</v>
      </c>
    </row>
    <row r="61" spans="8:17" x14ac:dyDescent="0.2">
      <c r="M61" s="17">
        <f>0.5*(((O59+O60)/(1+M64))+((O65+O66)/(1+M64)))</f>
        <v>99.852140923938435</v>
      </c>
      <c r="O61" s="14">
        <f>O67*EXP(2*$C$15)</f>
        <v>8.2338899683866387E-2</v>
      </c>
      <c r="Q61" s="10"/>
    </row>
    <row r="62" spans="8:17" x14ac:dyDescent="0.2">
      <c r="H62" s="142" t="s">
        <v>61</v>
      </c>
      <c r="I62" s="142"/>
      <c r="M62" s="15">
        <f>MIN(M61,$I$64)</f>
        <v>99.852140923938435</v>
      </c>
      <c r="Q62" s="15">
        <v>100</v>
      </c>
    </row>
    <row r="63" spans="8:17" x14ac:dyDescent="0.2">
      <c r="H63" s="3">
        <v>1</v>
      </c>
      <c r="I63" s="8">
        <v>104</v>
      </c>
      <c r="M63" s="45">
        <f>100*$I$58</f>
        <v>5</v>
      </c>
      <c r="Q63" s="45">
        <f>100*$I$60</f>
        <v>7.0000000000000009</v>
      </c>
    </row>
    <row r="64" spans="8:17" x14ac:dyDescent="0.2">
      <c r="H64" s="3">
        <v>2</v>
      </c>
      <c r="I64" s="8">
        <v>102</v>
      </c>
      <c r="K64" s="17">
        <f>0.5*(((M62+M63)/(1+K67))+((M68+M69)/(1+K67)))</f>
        <v>101.82464828325416</v>
      </c>
      <c r="M64" s="14">
        <f>M70*EXP(2*$C$15)</f>
        <v>5.5861077305160933E-2</v>
      </c>
      <c r="O64" s="17">
        <f>0.5*(((Q62+Q63)/(1+O67))+((Q68+Q69)/(1+O67)))</f>
        <v>101.40321051690921</v>
      </c>
      <c r="Q64" s="13"/>
    </row>
    <row r="65" spans="8:17" x14ac:dyDescent="0.2">
      <c r="H65" s="3">
        <v>3</v>
      </c>
      <c r="I65" s="8">
        <v>100</v>
      </c>
      <c r="K65" s="15">
        <f>MIN(K64,$I$63)</f>
        <v>101.82464828325416</v>
      </c>
      <c r="O65" s="15">
        <f>MIN(O64,$I$65)</f>
        <v>100</v>
      </c>
    </row>
    <row r="66" spans="8:17" x14ac:dyDescent="0.2">
      <c r="K66" s="45">
        <f>100*$I$57</f>
        <v>4</v>
      </c>
      <c r="O66" s="45">
        <f>100*$I$59</f>
        <v>6.0000000000000009</v>
      </c>
    </row>
    <row r="67" spans="8:17" x14ac:dyDescent="0.2">
      <c r="K67" s="14">
        <f>K73*EXP(2*$C$15)</f>
        <v>4.0279266836314297E-2</v>
      </c>
      <c r="M67" s="17">
        <f>0.5*(((O65+O66)/(1+M70))+((O71+O72)/(1+M70)))</f>
        <v>102.17411086268335</v>
      </c>
      <c r="O67" s="14">
        <f>O73*EXP(2*$C$15)</f>
        <v>5.51934150266132E-2</v>
      </c>
      <c r="Q67" s="10"/>
    </row>
    <row r="68" spans="8:17" x14ac:dyDescent="0.2">
      <c r="I68" s="32">
        <f>0.5*(((K65+K66)/(1+I69))+((K71+K72)/(1+I69)))</f>
        <v>103.94975609297724</v>
      </c>
      <c r="M68" s="15">
        <f>MIN(M67,$I$64)</f>
        <v>102</v>
      </c>
      <c r="Q68" s="15">
        <v>100</v>
      </c>
    </row>
    <row r="69" spans="8:17" x14ac:dyDescent="0.2">
      <c r="I69" s="18">
        <f>I84</f>
        <v>2.8500000000000001E-2</v>
      </c>
      <c r="M69" s="45">
        <f>100*$I$58</f>
        <v>5</v>
      </c>
      <c r="Q69" s="45">
        <f>100*$I$60</f>
        <v>7.0000000000000009</v>
      </c>
    </row>
    <row r="70" spans="8:17" x14ac:dyDescent="0.2">
      <c r="K70" s="17">
        <f>0.5*(((M68+M69)/(1+K73))+((M74+M75)/(1+K73)))</f>
        <v>104.18695228821812</v>
      </c>
      <c r="M70" s="14">
        <f>M76*EXP(2*$C$15)</f>
        <v>3.7444799910795884E-2</v>
      </c>
      <c r="O70" s="17">
        <f>0.5*(((Q68+Q69)/(1+O73))+((Q74+Q75)/(1+O73)))</f>
        <v>103.1825298879901</v>
      </c>
      <c r="Q70" s="13"/>
    </row>
    <row r="71" spans="8:17" x14ac:dyDescent="0.2">
      <c r="K71" s="15">
        <f>MIN(K70,$I$63)</f>
        <v>104</v>
      </c>
      <c r="O71" s="15">
        <f>MIN(O70,$I$65)</f>
        <v>100</v>
      </c>
    </row>
    <row r="72" spans="8:17" x14ac:dyDescent="0.2">
      <c r="K72" s="45">
        <f>100*$I$57</f>
        <v>4</v>
      </c>
      <c r="M72" s="11"/>
      <c r="O72" s="45">
        <f>100*$I$59</f>
        <v>6.0000000000000009</v>
      </c>
    </row>
    <row r="73" spans="8:17" x14ac:dyDescent="0.2">
      <c r="K73" s="19">
        <f>$K$46</f>
        <v>2.7E-2</v>
      </c>
      <c r="M73" s="17">
        <f>0.5*(((O71+O72)/(1+M76))+((O77+O78)/(1+M76)))</f>
        <v>103.40454589796119</v>
      </c>
      <c r="O73" s="14">
        <f>O79*EXP(2*$C$15)</f>
        <v>3.6997252501503507E-2</v>
      </c>
      <c r="Q73" s="10"/>
    </row>
    <row r="74" spans="8:17" x14ac:dyDescent="0.2">
      <c r="M74" s="15">
        <f>MIN(M73,$I$64)</f>
        <v>102</v>
      </c>
      <c r="Q74" s="15">
        <v>100</v>
      </c>
    </row>
    <row r="75" spans="8:17" x14ac:dyDescent="0.2">
      <c r="M75" s="45">
        <f>100*$I$58</f>
        <v>5</v>
      </c>
      <c r="Q75" s="45">
        <f>100*$I$60</f>
        <v>7.0000000000000009</v>
      </c>
    </row>
    <row r="76" spans="8:17" x14ac:dyDescent="0.2">
      <c r="M76" s="19">
        <f>$M$46</f>
        <v>2.5100000000000001E-2</v>
      </c>
      <c r="O76" s="17">
        <f>0.5*(((Q74+Q75)/(1+O79))+((Q80+Q81)/(1+O79)))</f>
        <v>104.41061670569869</v>
      </c>
      <c r="Q76" s="13"/>
    </row>
    <row r="77" spans="8:17" x14ac:dyDescent="0.2">
      <c r="O77" s="15">
        <f>MIN(O76,$I$65)</f>
        <v>100</v>
      </c>
    </row>
    <row r="78" spans="8:17" x14ac:dyDescent="0.2">
      <c r="O78" s="45">
        <f>100*$I$59</f>
        <v>6.0000000000000009</v>
      </c>
    </row>
    <row r="79" spans="8:17" x14ac:dyDescent="0.2">
      <c r="O79" s="20">
        <f>$O$46</f>
        <v>2.4799999999999999E-2</v>
      </c>
      <c r="Q79" s="10"/>
    </row>
    <row r="80" spans="8:17" x14ac:dyDescent="0.2">
      <c r="Q80" s="15">
        <v>100</v>
      </c>
    </row>
    <row r="81" spans="8:17" x14ac:dyDescent="0.2">
      <c r="Q81" s="45">
        <f>100*$I$60</f>
        <v>7.0000000000000009</v>
      </c>
    </row>
    <row r="82" spans="8:17" x14ac:dyDescent="0.2">
      <c r="Q82" s="13"/>
    </row>
    <row r="84" spans="8:17" x14ac:dyDescent="0.2">
      <c r="I84" s="21">
        <f>$C$10</f>
        <v>2.8500000000000001E-2</v>
      </c>
      <c r="J84" s="22"/>
      <c r="K84" s="23">
        <f>$C$11</f>
        <v>2.7E-2</v>
      </c>
      <c r="L84" s="22"/>
      <c r="M84" s="23">
        <f>$C$12</f>
        <v>2.5100000000000001E-2</v>
      </c>
      <c r="N84" s="22"/>
      <c r="O84" s="23">
        <f>$C$13</f>
        <v>2.4799999999999999E-2</v>
      </c>
      <c r="P84" s="1"/>
      <c r="Q84" s="1"/>
    </row>
    <row r="85" spans="8:17" x14ac:dyDescent="0.2">
      <c r="I85" s="24" t="s">
        <v>13</v>
      </c>
      <c r="J85" s="24"/>
      <c r="K85" s="24" t="s">
        <v>14</v>
      </c>
      <c r="L85" s="24"/>
      <c r="M85" s="24" t="s">
        <v>15</v>
      </c>
      <c r="N85" s="24"/>
      <c r="O85" s="24" t="s">
        <v>16</v>
      </c>
      <c r="P85" s="24"/>
      <c r="Q85" s="24" t="s">
        <v>17</v>
      </c>
    </row>
    <row r="90" spans="8:17" x14ac:dyDescent="0.2">
      <c r="H90" s="9" t="s">
        <v>28</v>
      </c>
      <c r="I90" s="9" t="s">
        <v>63</v>
      </c>
      <c r="J90" s="9"/>
    </row>
    <row r="94" spans="8:17" x14ac:dyDescent="0.2">
      <c r="Q94" s="10"/>
    </row>
    <row r="95" spans="8:17" x14ac:dyDescent="0.2">
      <c r="I95" s="9"/>
      <c r="Q95" s="15">
        <v>100</v>
      </c>
    </row>
    <row r="96" spans="8:17" x14ac:dyDescent="0.2">
      <c r="O96" s="11"/>
      <c r="Q96" s="49"/>
    </row>
    <row r="97" spans="7:17" x14ac:dyDescent="0.2">
      <c r="G97" s="142" t="s">
        <v>64</v>
      </c>
      <c r="H97" s="144"/>
      <c r="Q97" s="13"/>
    </row>
    <row r="98" spans="7:17" x14ac:dyDescent="0.2">
      <c r="G98" s="8">
        <v>1</v>
      </c>
      <c r="H98" s="47">
        <f>C10+(95/10000)</f>
        <v>3.7999999999999999E-2</v>
      </c>
      <c r="O98" s="17">
        <f>0.5*((Q95+O99)/(1+O100)+(Q101+O99)/(1+O100))</f>
        <v>98.859978174352761</v>
      </c>
    </row>
    <row r="99" spans="7:17" x14ac:dyDescent="0.2">
      <c r="G99" s="8">
        <v>2</v>
      </c>
      <c r="H99" s="47">
        <f>C11+(95/10000)</f>
        <v>3.6499999999999998E-2</v>
      </c>
      <c r="O99" s="50">
        <f>MAX(MIN((O100+95/10000),$H$103),$H$104)*100</f>
        <v>7.0000000000000009</v>
      </c>
    </row>
    <row r="100" spans="7:17" x14ac:dyDescent="0.2">
      <c r="G100" s="8">
        <v>3</v>
      </c>
      <c r="H100" s="47">
        <f>C12+(95/10000)</f>
        <v>3.4599999999999999E-2</v>
      </c>
      <c r="O100" s="14">
        <f>O123*EXP(6*$C$15)</f>
        <v>8.2338899683866387E-2</v>
      </c>
      <c r="Q100" s="10"/>
    </row>
    <row r="101" spans="7:17" x14ac:dyDescent="0.2">
      <c r="G101" s="8">
        <v>4</v>
      </c>
      <c r="H101" s="47">
        <f>C13+(95/10000)</f>
        <v>3.4299999999999997E-2</v>
      </c>
      <c r="M101" s="17">
        <f>0.5*((O98+M102)/(1+M103)+(O104+M102)/(1+M103))</f>
        <v>100.78622419580587</v>
      </c>
      <c r="Q101" s="15">
        <v>100</v>
      </c>
    </row>
    <row r="102" spans="7:17" x14ac:dyDescent="0.2">
      <c r="M102" s="50">
        <f>MAX(MIN((M103+95/10000),$H$103),$H$104)*100</f>
        <v>6.5361077305160942</v>
      </c>
      <c r="Q102" s="49"/>
    </row>
    <row r="103" spans="7:17" x14ac:dyDescent="0.2">
      <c r="G103" s="31" t="s">
        <v>65</v>
      </c>
      <c r="H103" s="48">
        <v>7.0000000000000007E-2</v>
      </c>
      <c r="M103" s="14">
        <f>M123*EXP(4*$C$15)</f>
        <v>5.5861077305160947E-2</v>
      </c>
      <c r="Q103" s="13"/>
    </row>
    <row r="104" spans="7:17" x14ac:dyDescent="0.2">
      <c r="G104" s="31" t="s">
        <v>66</v>
      </c>
      <c r="H104" s="48">
        <v>0.04</v>
      </c>
      <c r="K104" s="17">
        <f>0.5*((M101+K105)/(1+K106)+(M107+K105)/(1+K106))</f>
        <v>102.15200053838215</v>
      </c>
      <c r="O104" s="17">
        <f>0.5*((Q101+O105)/(1+O106)+(Q107+O105)/(1+O106))</f>
        <v>100.90030887842117</v>
      </c>
    </row>
    <row r="105" spans="7:17" x14ac:dyDescent="0.2">
      <c r="K105" s="50">
        <f>MAX(MIN((K106+95/10000),$H$103),$H$104)*100</f>
        <v>4.9779266836314298</v>
      </c>
      <c r="O105" s="50">
        <f>MAX(MIN((O106+95/10000),$H$103),$H$104)*100</f>
        <v>6.4693415026613206</v>
      </c>
    </row>
    <row r="106" spans="7:17" x14ac:dyDescent="0.2">
      <c r="K106" s="14">
        <f>K123*EXP(2*$C$15)</f>
        <v>4.0279266836314297E-2</v>
      </c>
      <c r="O106" s="14">
        <f>O123*EXP(4*$C$15)</f>
        <v>5.51934150266132E-2</v>
      </c>
      <c r="Q106" s="10"/>
    </row>
    <row r="107" spans="7:17" x14ac:dyDescent="0.2">
      <c r="I107" s="17">
        <f>0.5*((K104+I108)/(1+I109)+(K110+I108)/(1+I109))</f>
        <v>103.82462807115189</v>
      </c>
      <c r="M107" s="17">
        <f>0.5*((O104+M108)/(1+M109)+(O110+M108)/(1+M109))</f>
        <v>101.79113888879323</v>
      </c>
      <c r="Q107" s="15">
        <v>100</v>
      </c>
    </row>
    <row r="108" spans="7:17" x14ac:dyDescent="0.2">
      <c r="I108" s="50">
        <f>MAX(MIN((I109+95/10000),$H$103),$H$104)*100</f>
        <v>4</v>
      </c>
      <c r="M108" s="50">
        <f>MAX(MIN((M109+95/10000),$H$103),$H$104)*100</f>
        <v>4.6944799910795885</v>
      </c>
      <c r="Q108" s="49"/>
    </row>
    <row r="109" spans="7:17" x14ac:dyDescent="0.2">
      <c r="I109" s="18">
        <f>I123</f>
        <v>2.8500000000000001E-2</v>
      </c>
      <c r="M109" s="14">
        <f>M123*EXP(2*$C$15)</f>
        <v>3.7444799910795884E-2</v>
      </c>
      <c r="Q109" s="13"/>
    </row>
    <row r="110" spans="7:17" x14ac:dyDescent="0.2">
      <c r="K110" s="17">
        <f>0.5*((M107+K111)/(1+K112)+(M113+K111)/(1+K112))</f>
        <v>103.4152594039773</v>
      </c>
      <c r="O110" s="17">
        <f>0.5*((Q107+O111)/(1+O112)+(Q113+O111)/(1+O112))</f>
        <v>100.91610657377188</v>
      </c>
    </row>
    <row r="111" spans="7:17" x14ac:dyDescent="0.2">
      <c r="K111" s="50">
        <f>MAX(MIN((K112+95/10000),$H$103),$H$104)*100</f>
        <v>4</v>
      </c>
      <c r="M111" s="11"/>
      <c r="O111" s="50">
        <f>MAX(MIN((O112+95/10000),$H$103),$H$104)*100</f>
        <v>4.6497252501503512</v>
      </c>
    </row>
    <row r="112" spans="7:17" x14ac:dyDescent="0.2">
      <c r="K112" s="19">
        <f>K123</f>
        <v>2.7E-2</v>
      </c>
      <c r="O112" s="14">
        <f>O123*EXP(2*$C$15)</f>
        <v>3.6997252501503507E-2</v>
      </c>
      <c r="Q112" s="10"/>
    </row>
    <row r="113" spans="9:17" x14ac:dyDescent="0.2">
      <c r="M113" s="17">
        <f>0.5*((O110+M114)/(1+M115)+(O116+M114)/(1+M115))</f>
        <v>102.62380392697615</v>
      </c>
      <c r="Q113" s="15">
        <v>100</v>
      </c>
    </row>
    <row r="114" spans="9:17" x14ac:dyDescent="0.2">
      <c r="M114" s="50">
        <f>MAX(MIN((M115+95/10000),$H$103),$H$104)*100</f>
        <v>4</v>
      </c>
      <c r="Q114" s="49"/>
    </row>
    <row r="115" spans="9:17" x14ac:dyDescent="0.2">
      <c r="M115" s="19">
        <f>M123</f>
        <v>2.5100000000000001E-2</v>
      </c>
      <c r="Q115" s="13"/>
    </row>
    <row r="116" spans="9:17" x14ac:dyDescent="0.2">
      <c r="O116" s="17">
        <f>0.5*((Q113+O117)/(1+O118)+(Q119+O117)/(1+O118))</f>
        <v>101.48321623731461</v>
      </c>
    </row>
    <row r="117" spans="9:17" x14ac:dyDescent="0.2">
      <c r="O117" s="50">
        <f>MAX(MIN((O118+95/10000),$H$103),$H$104)*100</f>
        <v>4</v>
      </c>
    </row>
    <row r="118" spans="9:17" x14ac:dyDescent="0.2">
      <c r="O118" s="20">
        <f>O123</f>
        <v>2.4799999999999999E-2</v>
      </c>
      <c r="Q118" s="10"/>
    </row>
    <row r="119" spans="9:17" x14ac:dyDescent="0.2">
      <c r="Q119" s="15">
        <v>100</v>
      </c>
    </row>
    <row r="120" spans="9:17" x14ac:dyDescent="0.2">
      <c r="Q120" s="49"/>
    </row>
    <row r="121" spans="9:17" x14ac:dyDescent="0.2">
      <c r="Q121" s="13"/>
    </row>
    <row r="123" spans="9:17" x14ac:dyDescent="0.2">
      <c r="I123" s="21">
        <f>$C$10</f>
        <v>2.8500000000000001E-2</v>
      </c>
      <c r="J123" s="22"/>
      <c r="K123" s="23">
        <f>$C$11</f>
        <v>2.7E-2</v>
      </c>
      <c r="L123" s="22"/>
      <c r="M123" s="23">
        <f>$C$12</f>
        <v>2.5100000000000001E-2</v>
      </c>
      <c r="N123" s="22"/>
      <c r="O123" s="23">
        <f>$C$13</f>
        <v>2.4799999999999999E-2</v>
      </c>
      <c r="P123" s="1"/>
      <c r="Q123" s="1"/>
    </row>
    <row r="124" spans="9:17" x14ac:dyDescent="0.2">
      <c r="I124" s="24" t="s">
        <v>13</v>
      </c>
      <c r="J124" s="24"/>
      <c r="K124" s="24" t="s">
        <v>14</v>
      </c>
      <c r="L124" s="24"/>
      <c r="M124" s="24" t="s">
        <v>15</v>
      </c>
      <c r="N124" s="24"/>
      <c r="O124" s="24" t="s">
        <v>16</v>
      </c>
      <c r="P124" s="24"/>
      <c r="Q124" s="24" t="s">
        <v>17</v>
      </c>
    </row>
  </sheetData>
  <mergeCells count="5">
    <mergeCell ref="B9:C9"/>
    <mergeCell ref="G22:H22"/>
    <mergeCell ref="H56:I56"/>
    <mergeCell ref="H62:I62"/>
    <mergeCell ref="G97:H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FD4F-CB55-BB48-8CEB-F5773524B85B}">
  <dimension ref="B3:Z93"/>
  <sheetViews>
    <sheetView tabSelected="1" topLeftCell="E2" zoomScale="75" zoomScaleNormal="84" workbookViewId="0">
      <selection activeCell="I37" sqref="I37"/>
    </sheetView>
  </sheetViews>
  <sheetFormatPr baseColWidth="10" defaultRowHeight="16" x14ac:dyDescent="0.2"/>
  <cols>
    <col min="3" max="3" width="19.1640625" bestFit="1" customWidth="1"/>
    <col min="4" max="4" width="12.1640625" bestFit="1" customWidth="1"/>
    <col min="8" max="8" width="14.83203125" bestFit="1" customWidth="1"/>
    <col min="9" max="9" width="16.5" bestFit="1" customWidth="1"/>
    <col min="10" max="10" width="26.33203125" bestFit="1" customWidth="1"/>
    <col min="11" max="12" width="16" bestFit="1" customWidth="1"/>
    <col min="13" max="13" width="15.33203125" bestFit="1" customWidth="1"/>
    <col min="14" max="14" width="16.83203125" bestFit="1" customWidth="1"/>
    <col min="15" max="15" width="16.6640625" bestFit="1" customWidth="1"/>
    <col min="16" max="16" width="17.1640625" bestFit="1" customWidth="1"/>
    <col min="17" max="18" width="15.33203125" bestFit="1" customWidth="1"/>
    <col min="19" max="19" width="15.6640625" bestFit="1" customWidth="1"/>
    <col min="20" max="20" width="15" bestFit="1" customWidth="1"/>
    <col min="21" max="21" width="13" bestFit="1" customWidth="1"/>
    <col min="22" max="22" width="15.5" bestFit="1" customWidth="1"/>
    <col min="23" max="23" width="13" bestFit="1" customWidth="1"/>
    <col min="24" max="24" width="15.5" bestFit="1" customWidth="1"/>
    <col min="25" max="25" width="12.6640625" bestFit="1" customWidth="1"/>
    <col min="26" max="26" width="13.5" bestFit="1" customWidth="1"/>
    <col min="27" max="27" width="12" bestFit="1" customWidth="1"/>
  </cols>
  <sheetData>
    <row r="3" spans="2:18" ht="34" x14ac:dyDescent="0.2">
      <c r="B3" t="s">
        <v>67</v>
      </c>
      <c r="C3" t="s">
        <v>68</v>
      </c>
      <c r="F3" t="s">
        <v>24</v>
      </c>
      <c r="H3" s="55" t="s">
        <v>87</v>
      </c>
      <c r="I3" s="55" t="s">
        <v>88</v>
      </c>
      <c r="J3" s="55" t="s">
        <v>89</v>
      </c>
      <c r="K3" s="55" t="s">
        <v>90</v>
      </c>
      <c r="L3" s="55" t="s">
        <v>91</v>
      </c>
      <c r="M3" s="55" t="s">
        <v>92</v>
      </c>
      <c r="N3" s="55" t="s">
        <v>83</v>
      </c>
      <c r="O3" s="55" t="s">
        <v>93</v>
      </c>
      <c r="P3" s="55" t="s">
        <v>94</v>
      </c>
      <c r="Q3" s="55" t="s">
        <v>84</v>
      </c>
      <c r="R3" s="55" t="s">
        <v>95</v>
      </c>
    </row>
    <row r="4" spans="2:18" x14ac:dyDescent="0.2">
      <c r="H4" s="8">
        <v>1</v>
      </c>
      <c r="I4" s="8">
        <v>1</v>
      </c>
      <c r="J4" s="107">
        <f>C5</f>
        <v>350000000</v>
      </c>
      <c r="K4" s="108">
        <f>1-(1-(((I4/30)*0.06)*($C$10/100)))^(1/12)</f>
        <v>3.3394601074221431E-4</v>
      </c>
      <c r="L4" s="109">
        <f>PMT($C$6/12,24,-J4,0,0)</f>
        <v>15670402.686100896</v>
      </c>
      <c r="M4" s="109">
        <f>J4*$C$6/12</f>
        <v>2041666.666666667</v>
      </c>
      <c r="N4" s="109">
        <f>J4*($C$8/12)</f>
        <v>1750000</v>
      </c>
      <c r="O4" s="109">
        <f>L4-M4</f>
        <v>13628736.019434229</v>
      </c>
      <c r="P4" s="109">
        <f>(J4-O4)*K4</f>
        <v>112329.84173462623</v>
      </c>
      <c r="Q4" s="109">
        <f>O4+P4</f>
        <v>13741065.861168854</v>
      </c>
      <c r="R4" s="109">
        <f>N4+Q4</f>
        <v>15491065.861168854</v>
      </c>
    </row>
    <row r="5" spans="2:18" x14ac:dyDescent="0.2">
      <c r="B5" s="9" t="s">
        <v>69</v>
      </c>
      <c r="C5" s="52">
        <v>350000000</v>
      </c>
      <c r="H5" s="8">
        <v>2</v>
      </c>
      <c r="I5" s="8">
        <v>2</v>
      </c>
      <c r="J5" s="107">
        <f>J4-Q4</f>
        <v>336258934.13883114</v>
      </c>
      <c r="K5" s="108">
        <f t="shared" ref="K5:K27" si="0">1-(1-(((I5/30)*0.06)*($C$10/100)))^(1/12)</f>
        <v>6.6912367827864916E-4</v>
      </c>
      <c r="L5" s="109">
        <f>PMT($C$6/12,24-I4,-J5,0,0)</f>
        <v>15665169.617637152</v>
      </c>
      <c r="M5" s="109">
        <f t="shared" ref="M5:M27" si="1">J5*$C$6/12</f>
        <v>1961510.4491431818</v>
      </c>
      <c r="N5" s="109">
        <f t="shared" ref="N5:N27" si="2">J5*($C$8/12)</f>
        <v>1681294.6706941556</v>
      </c>
      <c r="O5" s="109">
        <f t="shared" ref="O5:O27" si="3">L5-M5</f>
        <v>13703659.168493969</v>
      </c>
      <c r="P5" s="109">
        <f t="shared" ref="P5:P27" si="4">(J5-O5)*K5</f>
        <v>215829.37203633308</v>
      </c>
      <c r="Q5" s="109">
        <f t="shared" ref="Q5:Q27" si="5">O5+P5</f>
        <v>13919488.540530302</v>
      </c>
      <c r="R5" s="109">
        <f t="shared" ref="R5:R27" si="6">N5+Q5</f>
        <v>15600783.211224457</v>
      </c>
    </row>
    <row r="6" spans="2:18" x14ac:dyDescent="0.2">
      <c r="B6" s="9" t="s">
        <v>70</v>
      </c>
      <c r="C6" s="6">
        <v>7.0000000000000007E-2</v>
      </c>
      <c r="H6" s="8">
        <v>3</v>
      </c>
      <c r="I6" s="8">
        <v>3</v>
      </c>
      <c r="J6" s="107">
        <f>J5-Q5</f>
        <v>322339445.59830081</v>
      </c>
      <c r="K6" s="108">
        <f t="shared" si="0"/>
        <v>1.0055425391276573E-3</v>
      </c>
      <c r="L6" s="109">
        <f>PMT($C$6/12,(24-I5),-J6,0,0)</f>
        <v>15654687.681721738</v>
      </c>
      <c r="M6" s="109">
        <f t="shared" si="1"/>
        <v>1880313.432656755</v>
      </c>
      <c r="N6" s="109">
        <f t="shared" si="2"/>
        <v>1611697.2279915041</v>
      </c>
      <c r="O6" s="109">
        <f t="shared" si="3"/>
        <v>13774374.249064982</v>
      </c>
      <c r="P6" s="109">
        <f>(J6-O6)*K6</f>
        <v>310275.30533061735</v>
      </c>
      <c r="Q6" s="109">
        <f t="shared" si="5"/>
        <v>14084649.554395599</v>
      </c>
      <c r="R6" s="109">
        <f t="shared" si="6"/>
        <v>15696346.782387104</v>
      </c>
    </row>
    <row r="7" spans="2:18" x14ac:dyDescent="0.2">
      <c r="B7" s="9" t="s">
        <v>71</v>
      </c>
      <c r="C7" s="6">
        <v>0.01</v>
      </c>
      <c r="H7" s="8">
        <v>4</v>
      </c>
      <c r="I7" s="8">
        <v>4</v>
      </c>
      <c r="J7" s="107">
        <f>J6-Q6</f>
        <v>308254796.0439052</v>
      </c>
      <c r="K7" s="108">
        <f t="shared" si="0"/>
        <v>1.3432122426282334E-3</v>
      </c>
      <c r="L7" s="109">
        <f>PMT($C$6/12,24-I6,-J7,0,0)</f>
        <v>15638946.227321006</v>
      </c>
      <c r="M7" s="109">
        <f t="shared" si="1"/>
        <v>1798152.9769227805</v>
      </c>
      <c r="N7" s="109">
        <f>J7*($C$8/12)</f>
        <v>1541273.980219526</v>
      </c>
      <c r="O7" s="109">
        <f t="shared" si="3"/>
        <v>13840793.250398226</v>
      </c>
      <c r="P7" s="109">
        <f>(J7-O7)*K7</f>
        <v>395460.49295342149</v>
      </c>
      <c r="Q7" s="109">
        <f t="shared" si="5"/>
        <v>14236253.743351648</v>
      </c>
      <c r="R7" s="109">
        <f t="shared" si="6"/>
        <v>15777527.723571174</v>
      </c>
    </row>
    <row r="8" spans="2:18" x14ac:dyDescent="0.2">
      <c r="B8" s="9" t="s">
        <v>72</v>
      </c>
      <c r="C8" s="6">
        <f>C6-C7</f>
        <v>6.0000000000000005E-2</v>
      </c>
      <c r="H8" s="8">
        <v>5</v>
      </c>
      <c r="I8" s="8">
        <v>5</v>
      </c>
      <c r="J8" s="107">
        <f t="shared" ref="J8:J26" si="7">J7-Q7</f>
        <v>294018542.30055356</v>
      </c>
      <c r="K8" s="108">
        <f>1-(1-(((I8/30)*0.06)*($C$10/100)))^(1/12)</f>
        <v>1.6821425527395739E-3</v>
      </c>
      <c r="L8" s="109">
        <f t="shared" ref="L8:L27" si="8">PMT($C$6/12,24-I7,-J8,0,0)</f>
        <v>15617939.803286668</v>
      </c>
      <c r="M8" s="109">
        <f t="shared" si="1"/>
        <v>1715108.1634198958</v>
      </c>
      <c r="N8" s="109">
        <f t="shared" si="2"/>
        <v>1470092.7115027679</v>
      </c>
      <c r="O8" s="109">
        <f t="shared" si="3"/>
        <v>13902831.639866773</v>
      </c>
      <c r="P8" s="109">
        <f t="shared" si="4"/>
        <v>471194.55659322755</v>
      </c>
      <c r="Q8" s="109">
        <f>O8+P8</f>
        <v>14374026.196460001</v>
      </c>
      <c r="R8" s="109">
        <f t="shared" si="6"/>
        <v>15844118.907962769</v>
      </c>
    </row>
    <row r="9" spans="2:18" x14ac:dyDescent="0.2">
      <c r="B9" s="9" t="s">
        <v>73</v>
      </c>
      <c r="C9" s="54">
        <v>24</v>
      </c>
      <c r="D9" t="s">
        <v>74</v>
      </c>
      <c r="H9" s="8">
        <v>6</v>
      </c>
      <c r="I9" s="8">
        <v>6</v>
      </c>
      <c r="J9" s="107">
        <f t="shared" si="7"/>
        <v>279644516.10409355</v>
      </c>
      <c r="K9" s="108">
        <f t="shared" si="0"/>
        <v>2.0223433498771648E-3</v>
      </c>
      <c r="L9" s="109">
        <f t="shared" si="8"/>
        <v>15591668.202157432</v>
      </c>
      <c r="M9" s="109">
        <f t="shared" si="1"/>
        <v>1631259.6772738791</v>
      </c>
      <c r="N9" s="109">
        <f t="shared" si="2"/>
        <v>1398222.5805204678</v>
      </c>
      <c r="O9" s="109">
        <f t="shared" si="3"/>
        <v>13960408.524883553</v>
      </c>
      <c r="P9" s="109">
        <f t="shared" si="4"/>
        <v>537304.48813086457</v>
      </c>
      <c r="Q9" s="109">
        <f t="shared" si="5"/>
        <v>14497713.013014417</v>
      </c>
      <c r="R9" s="109">
        <f t="shared" si="6"/>
        <v>15895935.593534885</v>
      </c>
    </row>
    <row r="10" spans="2:18" x14ac:dyDescent="0.2">
      <c r="B10" s="9" t="s">
        <v>81</v>
      </c>
      <c r="C10" s="53">
        <v>200</v>
      </c>
      <c r="D10" t="s">
        <v>33</v>
      </c>
      <c r="H10" s="8">
        <v>7</v>
      </c>
      <c r="I10" s="8">
        <v>7</v>
      </c>
      <c r="J10" s="107">
        <f t="shared" si="7"/>
        <v>265146803.09107915</v>
      </c>
      <c r="K10" s="108">
        <f t="shared" si="0"/>
        <v>2.3638246327857271E-3</v>
      </c>
      <c r="L10" s="109">
        <f t="shared" si="8"/>
        <v>15560136.495655308</v>
      </c>
      <c r="M10" s="109">
        <f t="shared" si="1"/>
        <v>1546689.6846979617</v>
      </c>
      <c r="N10" s="109">
        <f t="shared" si="2"/>
        <v>1325734.0154553957</v>
      </c>
      <c r="O10" s="109">
        <f t="shared" si="3"/>
        <v>14013446.810957346</v>
      </c>
      <c r="P10" s="109">
        <f t="shared" si="4"/>
        <v>593635.21368910605</v>
      </c>
      <c r="Q10" s="109">
        <f t="shared" si="5"/>
        <v>14607082.024646452</v>
      </c>
      <c r="R10" s="109">
        <f t="shared" si="6"/>
        <v>15932816.040101847</v>
      </c>
    </row>
    <row r="11" spans="2:18" x14ac:dyDescent="0.2">
      <c r="B11" s="9" t="s">
        <v>85</v>
      </c>
      <c r="C11" s="7">
        <f>PMT(C6/12,C9,-C5,0,0)</f>
        <v>15670402.686100896</v>
      </c>
      <c r="H11" s="8">
        <v>8</v>
      </c>
      <c r="I11" s="8">
        <v>8</v>
      </c>
      <c r="J11" s="107">
        <f t="shared" si="7"/>
        <v>250539721.06643268</v>
      </c>
      <c r="K11" s="108">
        <f t="shared" si="0"/>
        <v>2.7065965204493558E-3</v>
      </c>
      <c r="L11" s="109">
        <f t="shared" si="8"/>
        <v>15523355.061717367</v>
      </c>
      <c r="M11" s="109">
        <f t="shared" si="1"/>
        <v>1461481.7062208576</v>
      </c>
      <c r="N11" s="109">
        <f t="shared" si="2"/>
        <v>1252698.6053321634</v>
      </c>
      <c r="O11" s="109">
        <f t="shared" si="3"/>
        <v>14061873.355496509</v>
      </c>
      <c r="P11" s="109">
        <f t="shared" si="4"/>
        <v>640050.11977777258</v>
      </c>
      <c r="Q11" s="109">
        <f t="shared" si="5"/>
        <v>14701923.475274282</v>
      </c>
      <c r="R11" s="109">
        <f t="shared" si="6"/>
        <v>15954622.080606446</v>
      </c>
    </row>
    <row r="12" spans="2:18" x14ac:dyDescent="0.2">
      <c r="B12" s="9" t="s">
        <v>86</v>
      </c>
      <c r="H12" s="8">
        <v>9</v>
      </c>
      <c r="I12" s="8">
        <v>9</v>
      </c>
      <c r="J12" s="107">
        <f t="shared" si="7"/>
        <v>235837797.59115839</v>
      </c>
      <c r="K12" s="108">
        <f t="shared" si="0"/>
        <v>3.0506692540422931E-3</v>
      </c>
      <c r="L12" s="109">
        <f t="shared" si="8"/>
        <v>15481339.602921624</v>
      </c>
      <c r="M12" s="109">
        <f t="shared" si="1"/>
        <v>1375720.4859484241</v>
      </c>
      <c r="N12" s="109">
        <f t="shared" si="2"/>
        <v>1179188.9879557919</v>
      </c>
      <c r="O12" s="109">
        <f t="shared" si="3"/>
        <v>14105619.116973199</v>
      </c>
      <c r="P12" s="109">
        <f t="shared" si="4"/>
        <v>676431.53950301511</v>
      </c>
      <c r="Q12" s="109">
        <f t="shared" si="5"/>
        <v>14782050.656476215</v>
      </c>
      <c r="R12" s="109">
        <f t="shared" si="6"/>
        <v>15961239.644432006</v>
      </c>
    </row>
    <row r="13" spans="2:18" x14ac:dyDescent="0.2">
      <c r="B13" s="9" t="s">
        <v>97</v>
      </c>
      <c r="C13" s="51">
        <v>4.8000000000000001E-2</v>
      </c>
      <c r="H13" s="8">
        <v>10</v>
      </c>
      <c r="I13" s="8">
        <v>10</v>
      </c>
      <c r="J13" s="107">
        <f t="shared" si="7"/>
        <v>221055746.93468219</v>
      </c>
      <c r="K13" s="108">
        <f t="shared" si="0"/>
        <v>3.3960531989175591E-3</v>
      </c>
      <c r="L13" s="109">
        <f t="shared" si="8"/>
        <v>15434111.156183604</v>
      </c>
      <c r="M13" s="109">
        <f t="shared" si="1"/>
        <v>1289491.8571189796</v>
      </c>
      <c r="N13" s="109">
        <f t="shared" si="2"/>
        <v>1105278.7346734109</v>
      </c>
      <c r="O13" s="109">
        <f t="shared" si="3"/>
        <v>14144619.299064625</v>
      </c>
      <c r="P13" s="109">
        <f t="shared" si="4"/>
        <v>702681.19689857832</v>
      </c>
      <c r="Q13" s="109">
        <f t="shared" si="5"/>
        <v>14847300.495963203</v>
      </c>
      <c r="R13" s="109">
        <f t="shared" si="6"/>
        <v>15952579.230636613</v>
      </c>
    </row>
    <row r="14" spans="2:18" x14ac:dyDescent="0.2">
      <c r="H14" s="8">
        <v>11</v>
      </c>
      <c r="I14" s="8">
        <v>11</v>
      </c>
      <c r="J14" s="107">
        <f t="shared" si="7"/>
        <v>206208446.43871897</v>
      </c>
      <c r="K14" s="108">
        <f t="shared" si="0"/>
        <v>3.7427588466381057E-3</v>
      </c>
      <c r="L14" s="109">
        <f t="shared" si="8"/>
        <v>15381696.093619198</v>
      </c>
      <c r="M14" s="109">
        <f t="shared" si="1"/>
        <v>1202882.6042258607</v>
      </c>
      <c r="N14" s="109">
        <f t="shared" si="2"/>
        <v>1031042.2321935949</v>
      </c>
      <c r="O14" s="109">
        <f t="shared" si="3"/>
        <v>14178813.489393337</v>
      </c>
      <c r="P14" s="109">
        <f t="shared" si="4"/>
        <v>718720.60753775679</v>
      </c>
      <c r="Q14" s="109">
        <f t="shared" si="5"/>
        <v>14897534.096931094</v>
      </c>
      <c r="R14" s="109">
        <f t="shared" si="6"/>
        <v>15928576.329124689</v>
      </c>
    </row>
    <row r="15" spans="2:18" x14ac:dyDescent="0.2">
      <c r="B15" t="s">
        <v>75</v>
      </c>
      <c r="H15" s="8">
        <v>12</v>
      </c>
      <c r="I15" s="8">
        <v>12</v>
      </c>
      <c r="J15" s="107">
        <f t="shared" si="7"/>
        <v>191310912.34178787</v>
      </c>
      <c r="K15" s="108">
        <f t="shared" si="0"/>
        <v>4.0907968170484921E-3</v>
      </c>
      <c r="L15" s="109">
        <f t="shared" si="8"/>
        <v>15324126.114488503</v>
      </c>
      <c r="M15" s="109">
        <f t="shared" si="1"/>
        <v>1115980.3219937629</v>
      </c>
      <c r="N15" s="109">
        <f t="shared" si="2"/>
        <v>956554.56170893938</v>
      </c>
      <c r="O15" s="109">
        <f t="shared" si="3"/>
        <v>14208145.79249474</v>
      </c>
      <c r="P15" s="109">
        <f t="shared" si="4"/>
        <v>724491.43369033048</v>
      </c>
      <c r="Q15" s="109">
        <f t="shared" si="5"/>
        <v>14932637.22618507</v>
      </c>
      <c r="R15" s="109">
        <f t="shared" si="6"/>
        <v>15889191.787894011</v>
      </c>
    </row>
    <row r="16" spans="2:18" x14ac:dyDescent="0.2">
      <c r="B16" t="s">
        <v>76</v>
      </c>
      <c r="C16" s="52">
        <v>140000000</v>
      </c>
      <c r="D16" s="51">
        <v>4.5999999999999999E-2</v>
      </c>
      <c r="H16" s="8">
        <v>13</v>
      </c>
      <c r="I16" s="8">
        <v>13</v>
      </c>
      <c r="J16" s="107">
        <f t="shared" si="7"/>
        <v>176378275.11560279</v>
      </c>
      <c r="K16" s="108">
        <f t="shared" si="0"/>
        <v>4.4401778603907482E-3</v>
      </c>
      <c r="L16" s="109">
        <f t="shared" si="8"/>
        <v>15261438.228155306</v>
      </c>
      <c r="M16" s="109">
        <f t="shared" si="1"/>
        <v>1028873.2715076831</v>
      </c>
      <c r="N16" s="109">
        <f t="shared" si="2"/>
        <v>881891.37557801395</v>
      </c>
      <c r="O16" s="109">
        <f t="shared" si="3"/>
        <v>14232564.956647623</v>
      </c>
      <c r="P16" s="109">
        <f t="shared" si="4"/>
        <v>719955.7924051279</v>
      </c>
      <c r="Q16" s="109">
        <f t="shared" si="5"/>
        <v>14952520.749052752</v>
      </c>
      <c r="R16" s="109">
        <f t="shared" si="6"/>
        <v>15834412.124630766</v>
      </c>
    </row>
    <row r="17" spans="2:20" x14ac:dyDescent="0.2">
      <c r="B17" t="s">
        <v>77</v>
      </c>
      <c r="C17" s="52">
        <v>70000000</v>
      </c>
      <c r="D17" s="51">
        <v>4.8000000000000001E-2</v>
      </c>
      <c r="H17" s="8">
        <v>14</v>
      </c>
      <c r="I17" s="8">
        <v>14</v>
      </c>
      <c r="J17" s="107">
        <f>J16-Q16</f>
        <v>161425754.36655003</v>
      </c>
      <c r="K17" s="108">
        <f t="shared" si="0"/>
        <v>4.7909128594627592E-3</v>
      </c>
      <c r="L17" s="109">
        <f t="shared" si="8"/>
        <v>15193674.728016928</v>
      </c>
      <c r="M17" s="109">
        <f t="shared" si="1"/>
        <v>941650.23380487517</v>
      </c>
      <c r="N17" s="109">
        <f t="shared" si="2"/>
        <v>807128.77183275018</v>
      </c>
      <c r="O17" s="109">
        <f t="shared" si="3"/>
        <v>14252024.494212052</v>
      </c>
      <c r="P17" s="109">
        <f t="shared" si="4"/>
        <v>705096.51502048236</v>
      </c>
      <c r="Q17" s="109">
        <f t="shared" si="5"/>
        <v>14957121.009232534</v>
      </c>
      <c r="R17" s="109">
        <f t="shared" si="6"/>
        <v>15764249.781065285</v>
      </c>
    </row>
    <row r="18" spans="2:20" x14ac:dyDescent="0.2">
      <c r="B18" t="s">
        <v>78</v>
      </c>
      <c r="C18" s="52">
        <v>60000000</v>
      </c>
      <c r="D18" s="6">
        <v>0.05</v>
      </c>
      <c r="H18" s="8">
        <v>15</v>
      </c>
      <c r="I18" s="8">
        <v>15</v>
      </c>
      <c r="J18" s="107">
        <f t="shared" si="7"/>
        <v>146468633.35731751</v>
      </c>
      <c r="K18" s="108">
        <f t="shared" si="0"/>
        <v>5.1430128318229462E-3</v>
      </c>
      <c r="L18" s="109">
        <f t="shared" si="8"/>
        <v>15120883.156379981</v>
      </c>
      <c r="M18" s="109">
        <f t="shared" si="1"/>
        <v>854400.36125101894</v>
      </c>
      <c r="N18" s="109">
        <f t="shared" si="2"/>
        <v>732343.16678658756</v>
      </c>
      <c r="O18" s="109">
        <f t="shared" si="3"/>
        <v>14266482.795128962</v>
      </c>
      <c r="P18" s="109">
        <f t="shared" si="4"/>
        <v>679917.35673592484</v>
      </c>
      <c r="Q18" s="109">
        <f t="shared" si="5"/>
        <v>14946400.151864886</v>
      </c>
      <c r="R18" s="109">
        <f t="shared" si="6"/>
        <v>15678743.318651473</v>
      </c>
    </row>
    <row r="19" spans="2:20" x14ac:dyDescent="0.2">
      <c r="B19" t="s">
        <v>79</v>
      </c>
      <c r="C19" s="52">
        <v>80000000</v>
      </c>
      <c r="D19" s="51">
        <v>5.1999999999999998E-2</v>
      </c>
      <c r="H19" s="8">
        <v>16</v>
      </c>
      <c r="I19" s="8">
        <v>16</v>
      </c>
      <c r="J19" s="107">
        <f t="shared" si="7"/>
        <v>131522233.20545262</v>
      </c>
      <c r="K19" s="108">
        <f t="shared" si="0"/>
        <v>5.4964889320406884E-3</v>
      </c>
      <c r="L19" s="109">
        <f t="shared" si="8"/>
        <v>15043116.260278219</v>
      </c>
      <c r="M19" s="109">
        <f t="shared" si="1"/>
        <v>767213.02703180711</v>
      </c>
      <c r="N19" s="109">
        <f t="shared" si="2"/>
        <v>657611.16602726316</v>
      </c>
      <c r="O19" s="109">
        <f t="shared" si="3"/>
        <v>14275903.233246412</v>
      </c>
      <c r="P19" s="109">
        <f t="shared" si="4"/>
        <v>644443.15501462179</v>
      </c>
      <c r="Q19" s="109">
        <f t="shared" si="5"/>
        <v>14920346.388261033</v>
      </c>
      <c r="R19" s="109">
        <f t="shared" si="6"/>
        <v>15577957.554288296</v>
      </c>
    </row>
    <row r="20" spans="2:20" x14ac:dyDescent="0.2">
      <c r="B20" t="s">
        <v>80</v>
      </c>
      <c r="C20" s="52">
        <v>0</v>
      </c>
      <c r="D20" s="51">
        <v>0.06</v>
      </c>
      <c r="H20" s="8">
        <v>17</v>
      </c>
      <c r="I20" s="8">
        <v>17</v>
      </c>
      <c r="J20" s="107">
        <f t="shared" si="7"/>
        <v>116601886.81719159</v>
      </c>
      <c r="K20" s="108">
        <f t="shared" si="0"/>
        <v>5.8513524539940409E-3</v>
      </c>
      <c r="L20" s="109">
        <f t="shared" si="8"/>
        <v>14960431.938250201</v>
      </c>
      <c r="M20" s="109">
        <f t="shared" si="1"/>
        <v>680177.6731002843</v>
      </c>
      <c r="N20" s="109">
        <f t="shared" si="2"/>
        <v>583009.43408595794</v>
      </c>
      <c r="O20" s="109">
        <f t="shared" si="3"/>
        <v>14280254.265149917</v>
      </c>
      <c r="P20" s="109">
        <f t="shared" si="4"/>
        <v>598719.93573006557</v>
      </c>
      <c r="Q20" s="109">
        <f t="shared" si="5"/>
        <v>14878974.200879984</v>
      </c>
      <c r="R20" s="109">
        <f t="shared" si="6"/>
        <v>15461983.634965941</v>
      </c>
    </row>
    <row r="21" spans="2:20" x14ac:dyDescent="0.2">
      <c r="C21" s="52">
        <f>SUM(C16:C20)</f>
        <v>350000000</v>
      </c>
      <c r="H21" s="8">
        <v>18</v>
      </c>
      <c r="I21" s="8">
        <v>18</v>
      </c>
      <c r="J21" s="107">
        <f t="shared" si="7"/>
        <v>101722912.61631161</v>
      </c>
      <c r="K21" s="108">
        <f t="shared" si="0"/>
        <v>6.2076148332157466E-3</v>
      </c>
      <c r="L21" s="109">
        <f t="shared" si="8"/>
        <v>14872893.178115511</v>
      </c>
      <c r="M21" s="109">
        <f t="shared" si="1"/>
        <v>593383.65692848444</v>
      </c>
      <c r="N21" s="109">
        <f t="shared" si="2"/>
        <v>508614.56308155804</v>
      </c>
      <c r="O21" s="109">
        <f t="shared" si="3"/>
        <v>14279509.521187026</v>
      </c>
      <c r="P21" s="109">
        <f t="shared" si="4"/>
        <v>542814.96612015914</v>
      </c>
      <c r="Q21" s="109">
        <f t="shared" si="5"/>
        <v>14822324.487307185</v>
      </c>
      <c r="R21" s="109">
        <f t="shared" si="6"/>
        <v>15330939.050388744</v>
      </c>
    </row>
    <row r="22" spans="2:20" x14ac:dyDescent="0.2">
      <c r="H22" s="8">
        <v>19</v>
      </c>
      <c r="I22" s="8">
        <v>19</v>
      </c>
      <c r="J22" s="107">
        <f t="shared" si="7"/>
        <v>86900588.129004419</v>
      </c>
      <c r="K22" s="108">
        <f t="shared" si="0"/>
        <v>6.5652876492899859E-3</v>
      </c>
      <c r="L22" s="109">
        <f t="shared" si="8"/>
        <v>14780567.985810205</v>
      </c>
      <c r="M22" s="109">
        <f t="shared" si="1"/>
        <v>506920.09741919249</v>
      </c>
      <c r="N22" s="109">
        <f t="shared" si="2"/>
        <v>434502.94064502208</v>
      </c>
      <c r="O22" s="109">
        <f t="shared" si="3"/>
        <v>14273647.888391012</v>
      </c>
      <c r="P22" s="109">
        <f t="shared" si="4"/>
        <v>476816.75376742106</v>
      </c>
      <c r="Q22" s="109">
        <f t="shared" si="5"/>
        <v>14750464.642158434</v>
      </c>
      <c r="R22" s="109">
        <f t="shared" si="6"/>
        <v>15184967.582803456</v>
      </c>
      <c r="T22" s="7"/>
    </row>
    <row r="23" spans="2:20" x14ac:dyDescent="0.2">
      <c r="H23" s="8">
        <v>20</v>
      </c>
      <c r="I23" s="8">
        <v>20</v>
      </c>
      <c r="J23" s="107">
        <f t="shared" si="7"/>
        <v>72150123.486845985</v>
      </c>
      <c r="K23" s="108">
        <f t="shared" si="0"/>
        <v>6.9243826282994192E-3</v>
      </c>
      <c r="L23" s="109">
        <f t="shared" si="8"/>
        <v>14683529.305363476</v>
      </c>
      <c r="M23" s="109">
        <f t="shared" si="1"/>
        <v>420875.72033993498</v>
      </c>
      <c r="N23" s="109">
        <f t="shared" si="2"/>
        <v>360750.61743422993</v>
      </c>
      <c r="O23" s="109">
        <f t="shared" si="3"/>
        <v>14262653.585023541</v>
      </c>
      <c r="P23" s="109">
        <f t="shared" si="4"/>
        <v>400834.99098438484</v>
      </c>
      <c r="Q23" s="109">
        <f t="shared" si="5"/>
        <v>14663488.576007925</v>
      </c>
      <c r="R23" s="109">
        <f t="shared" si="6"/>
        <v>15024239.193442155</v>
      </c>
    </row>
    <row r="24" spans="2:20" x14ac:dyDescent="0.2">
      <c r="B24" t="s">
        <v>124</v>
      </c>
      <c r="C24">
        <f>(1/30)*0.06</f>
        <v>2E-3</v>
      </c>
      <c r="H24" s="8">
        <v>21</v>
      </c>
      <c r="I24" s="8">
        <v>21</v>
      </c>
      <c r="J24" s="107">
        <f t="shared" si="7"/>
        <v>57486634.91083806</v>
      </c>
      <c r="K24" s="108">
        <f t="shared" si="0"/>
        <v>7.2849116453249652E-3</v>
      </c>
      <c r="L24" s="109">
        <f t="shared" si="8"/>
        <v>14581854.930119291</v>
      </c>
      <c r="M24" s="109">
        <f t="shared" si="1"/>
        <v>335338.70364655537</v>
      </c>
      <c r="N24" s="109">
        <f t="shared" si="2"/>
        <v>287433.17455419031</v>
      </c>
      <c r="O24" s="109">
        <f t="shared" si="3"/>
        <v>14246516.226472735</v>
      </c>
      <c r="P24" s="109">
        <f t="shared" si="4"/>
        <v>315000.44414896658</v>
      </c>
      <c r="Q24" s="109">
        <f t="shared" si="5"/>
        <v>14561516.670621702</v>
      </c>
      <c r="R24" s="109">
        <f t="shared" si="6"/>
        <v>14848949.845175892</v>
      </c>
    </row>
    <row r="25" spans="2:20" x14ac:dyDescent="0.2">
      <c r="B25" t="s">
        <v>125</v>
      </c>
      <c r="D25">
        <f>C24*(200/100)</f>
        <v>4.0000000000000001E-3</v>
      </c>
      <c r="H25" s="8">
        <v>22</v>
      </c>
      <c r="I25" s="8">
        <v>22</v>
      </c>
      <c r="J25" s="107">
        <f t="shared" si="7"/>
        <v>42925118.240216359</v>
      </c>
      <c r="K25" s="108">
        <f t="shared" si="0"/>
        <v>7.6468867269993135E-3</v>
      </c>
      <c r="L25" s="109">
        <f t="shared" si="8"/>
        <v>14475627.405328428</v>
      </c>
      <c r="M25" s="109">
        <f t="shared" si="1"/>
        <v>250396.52306792876</v>
      </c>
      <c r="N25" s="109">
        <f t="shared" si="2"/>
        <v>214625.59120108181</v>
      </c>
      <c r="O25" s="109">
        <f t="shared" si="3"/>
        <v>14225230.8822605</v>
      </c>
      <c r="P25" s="109">
        <f t="shared" si="4"/>
        <v>219464.78770392804</v>
      </c>
      <c r="Q25" s="109">
        <f t="shared" si="5"/>
        <v>14444695.669964427</v>
      </c>
      <c r="R25" s="109">
        <f t="shared" si="6"/>
        <v>14659321.261165509</v>
      </c>
    </row>
    <row r="26" spans="2:20" x14ac:dyDescent="0.2">
      <c r="B26" t="s">
        <v>90</v>
      </c>
      <c r="D26" s="56">
        <f>1-(POWER(1-D25,(1/12)))</f>
        <v>3.3394601074221431E-4</v>
      </c>
      <c r="H26" s="8">
        <v>23</v>
      </c>
      <c r="I26" s="8">
        <v>23</v>
      </c>
      <c r="J26" s="107">
        <f t="shared" si="7"/>
        <v>28480422.570251934</v>
      </c>
      <c r="K26" s="108">
        <f t="shared" si="0"/>
        <v>8.0103200541153941E-3</v>
      </c>
      <c r="L26" s="109">
        <f t="shared" si="8"/>
        <v>14364933.922257639</v>
      </c>
      <c r="M26" s="109">
        <f t="shared" si="1"/>
        <v>166135.79832646964</v>
      </c>
      <c r="N26" s="109">
        <f t="shared" si="2"/>
        <v>142402.11285125968</v>
      </c>
      <c r="O26" s="109">
        <f t="shared" si="3"/>
        <v>14198798.12393117</v>
      </c>
      <c r="P26" s="109">
        <f t="shared" si="4"/>
        <v>114400.38270770789</v>
      </c>
      <c r="Q26" s="109">
        <f t="shared" si="5"/>
        <v>14313198.506638877</v>
      </c>
      <c r="R26" s="109">
        <f t="shared" si="6"/>
        <v>14455600.619490137</v>
      </c>
    </row>
    <row r="27" spans="2:20" x14ac:dyDescent="0.2">
      <c r="H27" s="8">
        <v>24</v>
      </c>
      <c r="I27" s="8">
        <v>24</v>
      </c>
      <c r="J27" s="107">
        <f>J26-Q26</f>
        <v>14167224.063613057</v>
      </c>
      <c r="K27" s="108">
        <f t="shared" si="0"/>
        <v>8.3752239642919113E-3</v>
      </c>
      <c r="L27" s="109">
        <f t="shared" si="8"/>
        <v>14249866.20398413</v>
      </c>
      <c r="M27" s="109">
        <f t="shared" si="1"/>
        <v>82642.140371076166</v>
      </c>
      <c r="N27" s="109">
        <f t="shared" si="2"/>
        <v>70836.120318065281</v>
      </c>
      <c r="O27" s="109">
        <f t="shared" si="3"/>
        <v>14167224.063613053</v>
      </c>
      <c r="P27" s="109">
        <f t="shared" si="4"/>
        <v>3.1200140581622389E-11</v>
      </c>
      <c r="Q27" s="109">
        <f t="shared" si="5"/>
        <v>14167224.063613053</v>
      </c>
      <c r="R27" s="109">
        <f t="shared" si="6"/>
        <v>14238060.183931118</v>
      </c>
    </row>
    <row r="28" spans="2:20" x14ac:dyDescent="0.2">
      <c r="J28" s="43"/>
      <c r="Q28" s="7"/>
      <c r="R28" s="7"/>
    </row>
    <row r="29" spans="2:20" x14ac:dyDescent="0.2">
      <c r="I29" s="9" t="s">
        <v>98</v>
      </c>
      <c r="J29" s="57">
        <f>SUMPRODUCT(H4:H27,Q4:Q27)/J4/12</f>
        <v>1.0468679686973188</v>
      </c>
    </row>
    <row r="31" spans="2:20" x14ac:dyDescent="0.2">
      <c r="J31" s="60">
        <f>SUM(J33:J56)</f>
        <v>354248706.9910298</v>
      </c>
      <c r="K31" s="60">
        <f>SUM(K33:K56)</f>
        <v>21243534.955149792</v>
      </c>
      <c r="L31" s="60">
        <f>SUM(L33:L56)</f>
        <v>333005172.03588003</v>
      </c>
      <c r="M31" s="7"/>
    </row>
    <row r="32" spans="2:20" x14ac:dyDescent="0.2">
      <c r="F32" t="s">
        <v>25</v>
      </c>
      <c r="J32" s="59" t="s">
        <v>99</v>
      </c>
      <c r="K32" s="59" t="s">
        <v>101</v>
      </c>
      <c r="L32" s="59" t="s">
        <v>100</v>
      </c>
    </row>
    <row r="33" spans="8:19" x14ac:dyDescent="0.2">
      <c r="H33" s="7"/>
      <c r="I33">
        <v>1</v>
      </c>
      <c r="J33" s="58">
        <f>PV(($C$13/12),H4,0,-R4,0)</f>
        <v>15429348.467299655</v>
      </c>
      <c r="K33" s="58">
        <f>PV($C$13/12,H4,0,-N4,0)</f>
        <v>1743027.8884462151</v>
      </c>
      <c r="L33" s="58">
        <f>PV($C$13/12,H4,0,-Q4,0)</f>
        <v>13686320.57885344</v>
      </c>
      <c r="M33" s="7"/>
    </row>
    <row r="34" spans="8:19" x14ac:dyDescent="0.2">
      <c r="H34" s="7"/>
      <c r="I34">
        <v>2</v>
      </c>
      <c r="J34" s="58">
        <f>PV(($C$13/12),H5,0,-R5,0)</f>
        <v>15476721.809201894</v>
      </c>
      <c r="K34" s="58">
        <f t="shared" ref="K34:K56" si="9">PV($C$13/12,H5,0,-N5,0)</f>
        <v>1667924.5872031352</v>
      </c>
      <c r="L34" s="58">
        <f t="shared" ref="L34:L55" si="10">PV($C$13/12,H5,0,-Q5,0)</f>
        <v>13808797.221998759</v>
      </c>
      <c r="M34" s="7"/>
    </row>
    <row r="35" spans="8:19" x14ac:dyDescent="0.2">
      <c r="I35">
        <v>3</v>
      </c>
      <c r="J35" s="58">
        <f t="shared" ref="J35:J56" si="11">PV($C$13/12,H6,0,-R6,0)</f>
        <v>15509487.484565856</v>
      </c>
      <c r="K35" s="58">
        <f t="shared" si="9"/>
        <v>1592510.5588577106</v>
      </c>
      <c r="L35" s="58">
        <f t="shared" si="10"/>
        <v>13916976.925708145</v>
      </c>
      <c r="M35" s="7"/>
    </row>
    <row r="36" spans="8:19" x14ac:dyDescent="0.2">
      <c r="I36">
        <v>4</v>
      </c>
      <c r="J36" s="58">
        <f t="shared" si="11"/>
        <v>15527591.629661618</v>
      </c>
      <c r="K36" s="58">
        <f t="shared" si="9"/>
        <v>1516858.2412641132</v>
      </c>
      <c r="L36" s="58">
        <f t="shared" si="10"/>
        <v>14010733.388397506</v>
      </c>
      <c r="M36" s="7"/>
    </row>
    <row r="37" spans="8:19" x14ac:dyDescent="0.2">
      <c r="I37">
        <v>5</v>
      </c>
      <c r="J37" s="58">
        <f t="shared" si="11"/>
        <v>15531003.909410954</v>
      </c>
      <c r="K37" s="58">
        <f t="shared" si="9"/>
        <v>1441040.41267144</v>
      </c>
      <c r="L37" s="58">
        <f t="shared" si="10"/>
        <v>14089963.496739512</v>
      </c>
      <c r="M37" s="7"/>
    </row>
    <row r="38" spans="8:19" x14ac:dyDescent="0.2">
      <c r="I38">
        <v>6</v>
      </c>
      <c r="J38" s="58">
        <f t="shared" si="11"/>
        <v>15519717.711283568</v>
      </c>
      <c r="K38" s="58">
        <f t="shared" si="9"/>
        <v>1365130.0748881898</v>
      </c>
      <c r="L38" s="58">
        <f t="shared" si="10"/>
        <v>14154587.636395378</v>
      </c>
      <c r="M38" s="7"/>
    </row>
    <row r="39" spans="8:19" x14ac:dyDescent="0.2">
      <c r="I39">
        <v>7</v>
      </c>
      <c r="J39" s="58">
        <f t="shared" si="11"/>
        <v>15493750.286816351</v>
      </c>
      <c r="K39" s="58">
        <f t="shared" si="9"/>
        <v>1289200.3353647538</v>
      </c>
      <c r="L39" s="58">
        <f t="shared" si="10"/>
        <v>14204549.951451598</v>
      </c>
      <c r="M39" s="7"/>
    </row>
    <row r="40" spans="8:19" x14ac:dyDescent="0.2">
      <c r="I40">
        <v>8</v>
      </c>
      <c r="J40" s="58">
        <f t="shared" si="11"/>
        <v>15453142.839866284</v>
      </c>
      <c r="K40" s="58">
        <f t="shared" si="9"/>
        <v>1213324.2884536809</v>
      </c>
      <c r="L40" s="58">
        <f t="shared" si="10"/>
        <v>14239818.551412603</v>
      </c>
      <c r="M40" s="7"/>
    </row>
    <row r="41" spans="8:19" x14ac:dyDescent="0.2">
      <c r="I41">
        <v>9</v>
      </c>
      <c r="J41" s="58">
        <f t="shared" si="11"/>
        <v>15397960.560853617</v>
      </c>
      <c r="K41" s="58">
        <f t="shared" si="9"/>
        <v>1137574.8961121691</v>
      </c>
      <c r="L41" s="58">
        <f t="shared" si="10"/>
        <v>14260385.664741449</v>
      </c>
      <c r="M41" s="7"/>
    </row>
    <row r="42" spans="8:19" x14ac:dyDescent="0.2">
      <c r="I42">
        <v>10</v>
      </c>
      <c r="J42" s="58">
        <f t="shared" si="11"/>
        <v>15328292.60639916</v>
      </c>
      <c r="K42" s="58">
        <f t="shared" si="9"/>
        <v>1062024.8683152013</v>
      </c>
      <c r="L42" s="58">
        <f t="shared" si="10"/>
        <v>14266267.738083959</v>
      </c>
      <c r="M42" s="7"/>
    </row>
    <row r="43" spans="8:19" x14ac:dyDescent="0.2">
      <c r="I43">
        <v>11</v>
      </c>
      <c r="J43" s="58">
        <f t="shared" si="11"/>
        <v>15244252.023914803</v>
      </c>
      <c r="K43" s="58">
        <f t="shared" si="9"/>
        <v>986746.54345097742</v>
      </c>
      <c r="L43" s="58">
        <f t="shared" si="10"/>
        <v>14257505.480463827</v>
      </c>
      <c r="M43" s="7"/>
    </row>
    <row r="44" spans="8:19" x14ac:dyDescent="0.2">
      <c r="I44">
        <v>12</v>
      </c>
      <c r="J44" s="58">
        <f t="shared" si="11"/>
        <v>15145975.620861238</v>
      </c>
      <c r="K44" s="58">
        <f t="shared" si="9"/>
        <v>911811.76897276717</v>
      </c>
      <c r="L44" s="58">
        <f t="shared" si="10"/>
        <v>14234163.85188847</v>
      </c>
      <c r="M44" s="7"/>
      <c r="N44" s="9" t="s">
        <v>96</v>
      </c>
      <c r="O44" s="1" t="s">
        <v>102</v>
      </c>
      <c r="P44" s="61">
        <f>J31</f>
        <v>354248706.9910298</v>
      </c>
      <c r="Q44" s="1" t="s">
        <v>102</v>
      </c>
      <c r="R44" s="36">
        <f>(P45/P44)/12</f>
        <v>1.0119775952024888</v>
      </c>
      <c r="S44" s="35" t="s">
        <v>103</v>
      </c>
    </row>
    <row r="45" spans="8:19" x14ac:dyDescent="0.2">
      <c r="I45">
        <v>13</v>
      </c>
      <c r="J45" s="58">
        <f t="shared" si="11"/>
        <v>15033623.778547786</v>
      </c>
      <c r="K45" s="58">
        <f t="shared" si="9"/>
        <v>837291.7825829928</v>
      </c>
      <c r="L45" s="58">
        <f t="shared" si="10"/>
        <v>14196331.995964793</v>
      </c>
      <c r="M45" s="7"/>
      <c r="P45" s="7">
        <f>SUMPRODUCT(I33:I56,J33:J56)</f>
        <v>4301901055.2524805</v>
      </c>
    </row>
    <row r="46" spans="8:19" x14ac:dyDescent="0.2">
      <c r="I46">
        <v>14</v>
      </c>
      <c r="J46" s="58">
        <f t="shared" si="11"/>
        <v>14907380.210510151</v>
      </c>
      <c r="K46" s="58">
        <f t="shared" si="9"/>
        <v>763257.0942262637</v>
      </c>
      <c r="L46" s="58">
        <f t="shared" si="10"/>
        <v>14144123.116283886</v>
      </c>
      <c r="M46" s="7"/>
    </row>
    <row r="47" spans="8:19" x14ac:dyDescent="0.2">
      <c r="I47">
        <v>15</v>
      </c>
      <c r="J47" s="58">
        <f t="shared" si="11"/>
        <v>14767451.665667033</v>
      </c>
      <c r="K47" s="58">
        <f t="shared" si="9"/>
        <v>689777.36916817166</v>
      </c>
      <c r="L47" s="58">
        <f t="shared" si="10"/>
        <v>14077674.296498861</v>
      </c>
      <c r="M47" s="7"/>
    </row>
    <row r="48" spans="8:19" x14ac:dyDescent="0.2">
      <c r="I48">
        <v>16</v>
      </c>
      <c r="J48" s="58">
        <f t="shared" si="11"/>
        <v>14614067.576620765</v>
      </c>
      <c r="K48" s="58">
        <f t="shared" si="9"/>
        <v>616921.31243593362</v>
      </c>
      <c r="L48" s="58">
        <f t="shared" si="10"/>
        <v>13997146.264184833</v>
      </c>
      <c r="M48" s="7"/>
    </row>
    <row r="49" spans="6:26" x14ac:dyDescent="0.2">
      <c r="I49">
        <v>17</v>
      </c>
      <c r="J49" s="58">
        <f t="shared" si="11"/>
        <v>14447479.653633961</v>
      </c>
      <c r="K49" s="58">
        <f t="shared" si="9"/>
        <v>544756.55489542766</v>
      </c>
      <c r="L49" s="58">
        <f t="shared" si="10"/>
        <v>13902723.098738534</v>
      </c>
      <c r="M49" s="7"/>
    </row>
    <row r="50" spans="6:26" x14ac:dyDescent="0.2">
      <c r="I50">
        <v>18</v>
      </c>
      <c r="J50" s="58">
        <f t="shared" si="11"/>
        <v>14267961.424979882</v>
      </c>
      <c r="K50" s="58">
        <f t="shared" si="9"/>
        <v>473349.5412367878</v>
      </c>
      <c r="L50" s="58">
        <f t="shared" si="10"/>
        <v>13794611.883743094</v>
      </c>
      <c r="M50" s="7"/>
    </row>
    <row r="51" spans="6:26" x14ac:dyDescent="0.2">
      <c r="I51">
        <v>19</v>
      </c>
      <c r="J51" s="58">
        <f t="shared" si="11"/>
        <v>14075807.724530663</v>
      </c>
      <c r="K51" s="58">
        <f t="shared" si="9"/>
        <v>402765.42013752228</v>
      </c>
      <c r="L51" s="58">
        <f>PV($C$13/12,H22,0,-Q22,0)</f>
        <v>13673042.304393141</v>
      </c>
      <c r="M51" s="7"/>
    </row>
    <row r="52" spans="6:26" x14ac:dyDescent="0.2">
      <c r="I52">
        <v>20</v>
      </c>
      <c r="J52" s="58">
        <f t="shared" si="11"/>
        <v>13871334.127611594</v>
      </c>
      <c r="K52" s="58">
        <f t="shared" si="9"/>
        <v>333067.93686808419</v>
      </c>
      <c r="L52" s="58">
        <f t="shared" si="10"/>
        <v>13538266.19074351</v>
      </c>
      <c r="M52" s="7"/>
    </row>
    <row r="53" spans="6:26" x14ac:dyDescent="0.2">
      <c r="I53">
        <v>21</v>
      </c>
      <c r="J53" s="58">
        <f t="shared" si="11"/>
        <v>13654876.336313473</v>
      </c>
      <c r="K53" s="58">
        <f t="shared" si="9"/>
        <v>264319.32859996683</v>
      </c>
      <c r="L53" s="58">
        <f t="shared" si="10"/>
        <v>13390557.007713506</v>
      </c>
      <c r="M53" s="7"/>
    </row>
    <row r="54" spans="6:26" x14ac:dyDescent="0.2">
      <c r="I54">
        <v>22</v>
      </c>
      <c r="J54" s="58">
        <f t="shared" si="11"/>
        <v>13426789.515615592</v>
      </c>
      <c r="K54" s="58">
        <f t="shared" si="9"/>
        <v>196580.22267071644</v>
      </c>
      <c r="L54" s="58">
        <f t="shared" si="10"/>
        <v>13230209.292944875</v>
      </c>
      <c r="M54" s="7"/>
    </row>
    <row r="55" spans="6:26" x14ac:dyDescent="0.2">
      <c r="I55">
        <v>23</v>
      </c>
      <c r="J55" s="58">
        <f t="shared" si="11"/>
        <v>13187447.5818302</v>
      </c>
      <c r="K55" s="58">
        <f t="shared" si="9"/>
        <v>129909.53805377695</v>
      </c>
      <c r="L55" s="58">
        <f t="shared" si="10"/>
        <v>13057538.043776423</v>
      </c>
      <c r="M55" s="7"/>
    </row>
    <row r="56" spans="6:26" x14ac:dyDescent="0.2">
      <c r="I56">
        <v>24</v>
      </c>
      <c r="J56" s="58">
        <f t="shared" si="11"/>
        <v>12937242.44503372</v>
      </c>
      <c r="K56" s="58">
        <f t="shared" si="9"/>
        <v>64364.390273799618</v>
      </c>
      <c r="L56" s="58">
        <f>PV($C$13/12,H27,0,-Q27,0)</f>
        <v>12872878.054759922</v>
      </c>
      <c r="M56" s="7"/>
      <c r="P56" s="78"/>
    </row>
    <row r="57" spans="6:26" x14ac:dyDescent="0.2">
      <c r="J57" s="7"/>
      <c r="L57" s="7"/>
    </row>
    <row r="58" spans="6:26" x14ac:dyDescent="0.2">
      <c r="H58" s="31"/>
      <c r="I58" s="31"/>
      <c r="J58" s="62"/>
      <c r="K58" s="31"/>
      <c r="L58" s="146" t="s">
        <v>107</v>
      </c>
      <c r="M58" s="146"/>
      <c r="N58" s="146"/>
      <c r="O58" s="147" t="s">
        <v>108</v>
      </c>
      <c r="P58" s="147"/>
      <c r="Q58" s="147"/>
      <c r="R58" s="148" t="s">
        <v>109</v>
      </c>
      <c r="S58" s="148"/>
      <c r="T58" s="148"/>
      <c r="U58" s="149" t="s">
        <v>110</v>
      </c>
      <c r="V58" s="149"/>
      <c r="W58" s="149"/>
      <c r="X58" s="145" t="s">
        <v>111</v>
      </c>
      <c r="Y58" s="145"/>
      <c r="Z58" s="9"/>
    </row>
    <row r="59" spans="6:26" x14ac:dyDescent="0.2">
      <c r="F59" t="s">
        <v>28</v>
      </c>
      <c r="H59" s="2" t="s">
        <v>104</v>
      </c>
      <c r="I59" s="2" t="s">
        <v>82</v>
      </c>
      <c r="J59" s="86" t="s">
        <v>105</v>
      </c>
      <c r="K59" s="2" t="s">
        <v>83</v>
      </c>
      <c r="L59" s="63" t="s">
        <v>82</v>
      </c>
      <c r="M59" s="87" t="s">
        <v>105</v>
      </c>
      <c r="N59" s="63" t="s">
        <v>106</v>
      </c>
      <c r="O59" s="64" t="s">
        <v>82</v>
      </c>
      <c r="P59" s="88" t="s">
        <v>105</v>
      </c>
      <c r="Q59" s="64" t="s">
        <v>106</v>
      </c>
      <c r="R59" s="65" t="s">
        <v>82</v>
      </c>
      <c r="S59" s="89" t="s">
        <v>105</v>
      </c>
      <c r="T59" s="65" t="s">
        <v>106</v>
      </c>
      <c r="U59" s="66" t="s">
        <v>82</v>
      </c>
      <c r="V59" s="90" t="s">
        <v>105</v>
      </c>
      <c r="W59" s="66" t="s">
        <v>106</v>
      </c>
      <c r="X59" s="81" t="s">
        <v>82</v>
      </c>
      <c r="Y59" s="81" t="s">
        <v>106</v>
      </c>
    </row>
    <row r="60" spans="6:26" x14ac:dyDescent="0.2">
      <c r="H60" s="3">
        <v>1</v>
      </c>
      <c r="I60" s="93">
        <f>J4</f>
        <v>350000000</v>
      </c>
      <c r="J60" s="94">
        <f t="shared" ref="J60:J83" si="12">Q4</f>
        <v>13741065.861168854</v>
      </c>
      <c r="K60" s="93">
        <f>I60*$C$8/12</f>
        <v>1750000</v>
      </c>
      <c r="L60" s="95">
        <f>N88</f>
        <v>140000000</v>
      </c>
      <c r="M60" s="95">
        <f>IF(L60&gt;Q4,MIN(L60,Q4),L60)</f>
        <v>13741065.861168854</v>
      </c>
      <c r="N60" s="96">
        <f>L60*$O$88/12</f>
        <v>536666.66666666663</v>
      </c>
      <c r="O60" s="97">
        <f>N89</f>
        <v>70000000</v>
      </c>
      <c r="P60" s="98">
        <f t="shared" ref="P60:P69" si="13">IF(O60=0,0,IF(L60&lt;Q4,Q4-M60,0))</f>
        <v>0</v>
      </c>
      <c r="Q60" s="99">
        <f>O60*$O$89/12</f>
        <v>280000</v>
      </c>
      <c r="R60" s="100">
        <f>N90</f>
        <v>60000000</v>
      </c>
      <c r="S60" s="101">
        <f>IF(R60=0,0,IF(O60&lt;Q4,Q4-P60,0))</f>
        <v>0</v>
      </c>
      <c r="T60" s="102">
        <f>R60*($O$90/12)</f>
        <v>250000</v>
      </c>
      <c r="U60" s="103">
        <f>N91</f>
        <v>80000000</v>
      </c>
      <c r="V60" s="104">
        <f>IF(U60=0,0,IF(R60&lt;T4,T4-S60,0))</f>
        <v>0</v>
      </c>
      <c r="W60" s="105">
        <f>U60*$O$91/12</f>
        <v>346666.66666666669</v>
      </c>
      <c r="X60" s="106">
        <f>($P$88*L60+$P$89*O60+$P$90*R60+$P$91*U60)/$O$92</f>
        <v>67333333.333333313</v>
      </c>
      <c r="Y60" s="106">
        <f>X60*$O$92/12</f>
        <v>336666.66666666657</v>
      </c>
    </row>
    <row r="61" spans="6:26" x14ac:dyDescent="0.2">
      <c r="H61" s="3">
        <v>2</v>
      </c>
      <c r="I61" s="93">
        <f>I60-J60</f>
        <v>336258934.13883114</v>
      </c>
      <c r="J61" s="94">
        <f t="shared" si="12"/>
        <v>13919488.540530302</v>
      </c>
      <c r="K61" s="93">
        <f t="shared" ref="K61:K83" si="14">I61*$C$8/12</f>
        <v>1681294.6706941559</v>
      </c>
      <c r="L61" s="95">
        <f>L60-M60</f>
        <v>126258934.13883114</v>
      </c>
      <c r="M61" s="95">
        <f>IF(L61&gt;Q5,MIN(L61,Q5),L61)</f>
        <v>13919488.540530302</v>
      </c>
      <c r="N61" s="96">
        <f t="shared" ref="N61:N83" si="15">L61*$O$88/12</f>
        <v>483992.58086551935</v>
      </c>
      <c r="O61" s="97">
        <f>IF(O60&lt;P60,0,IF(L61&lt;Q5,O60-P60,$N$89))</f>
        <v>70000000</v>
      </c>
      <c r="P61" s="98">
        <f t="shared" si="13"/>
        <v>0</v>
      </c>
      <c r="Q61" s="99">
        <f t="shared" ref="Q61:Q83" si="16">O61*$O$89/12</f>
        <v>280000</v>
      </c>
      <c r="R61" s="100">
        <f>IF(R60&lt;S60,0,IF(O61&lt;Q5,R60-S60,$N$90))</f>
        <v>60000000</v>
      </c>
      <c r="S61" s="101">
        <f t="shared" ref="S61:S69" si="17">IF(R61=0,0,IF(O61&lt;T5,T5-P61,0))</f>
        <v>0</v>
      </c>
      <c r="T61" s="102">
        <f>R61*$O$90/12</f>
        <v>250000</v>
      </c>
      <c r="U61" s="103">
        <f>IF(U60&lt;V60,0,IF(R61&lt;Q5,U60-V60,$N$91))</f>
        <v>80000000</v>
      </c>
      <c r="V61" s="104">
        <f>IF(U61=0,0,IF(R61&lt;Q5,Q5-S61,0))</f>
        <v>0</v>
      </c>
      <c r="W61" s="105">
        <f t="shared" ref="W61:W83" si="18">U61*$O$91/12</f>
        <v>346666.66666666669</v>
      </c>
      <c r="X61" s="106">
        <f t="shared" ref="X61:X82" si="19">($P$88*L61+$P$89*O61+$P$90*R61+$P$91*U61)/$O$92</f>
        <v>64127084.632393919</v>
      </c>
      <c r="Y61" s="106">
        <f t="shared" ref="Y61:Y83" si="20">X61*$O$92/12</f>
        <v>320635.42316196958</v>
      </c>
    </row>
    <row r="62" spans="6:26" x14ac:dyDescent="0.2">
      <c r="H62" s="3">
        <v>3</v>
      </c>
      <c r="I62" s="93">
        <f t="shared" ref="I62:I83" si="21">I61-J61</f>
        <v>322339445.59830081</v>
      </c>
      <c r="J62" s="94">
        <f t="shared" si="12"/>
        <v>14084649.554395599</v>
      </c>
      <c r="K62" s="93">
        <f t="shared" si="14"/>
        <v>1611697.2279915044</v>
      </c>
      <c r="L62" s="95">
        <f t="shared" ref="L62:L83" si="22">L61-M61</f>
        <v>112339445.59830084</v>
      </c>
      <c r="M62" s="95">
        <f t="shared" ref="M62:M83" si="23">IF(L62&gt;Q6,MIN(L62,Q6),L62)</f>
        <v>14084649.554395599</v>
      </c>
      <c r="N62" s="96">
        <f t="shared" si="15"/>
        <v>430634.54146015324</v>
      </c>
      <c r="O62" s="97">
        <f t="shared" ref="O62:O74" si="24">IF(O61&lt;P61,0,IF(L62&lt;Q6,O61-P61,$N$89))</f>
        <v>70000000</v>
      </c>
      <c r="P62" s="98">
        <f t="shared" si="13"/>
        <v>0</v>
      </c>
      <c r="Q62" s="99">
        <f t="shared" si="16"/>
        <v>280000</v>
      </c>
      <c r="R62" s="100">
        <f t="shared" ref="R62:R83" si="25">IF(R61&lt;S61,0,IF(O62&lt;Q6,R61-S61,$N$90))</f>
        <v>60000000</v>
      </c>
      <c r="S62" s="101">
        <f t="shared" si="17"/>
        <v>0</v>
      </c>
      <c r="T62" s="102">
        <f t="shared" ref="T62:T83" si="26">R62*$O$90/12</f>
        <v>250000</v>
      </c>
      <c r="U62" s="103">
        <f t="shared" ref="U62:U83" si="27">IF(U61&lt;V61,0,IF(R62&lt;Q6,U61-V61,$N$91))</f>
        <v>80000000</v>
      </c>
      <c r="V62" s="104">
        <f>IF(U62=0,0,IF(R62&lt;Q6,Q6-S62,0))</f>
        <v>0</v>
      </c>
      <c r="W62" s="105">
        <f t="shared" si="18"/>
        <v>346666.66666666669</v>
      </c>
      <c r="X62" s="106">
        <f t="shared" si="19"/>
        <v>60879203.972936854</v>
      </c>
      <c r="Y62" s="106">
        <f t="shared" si="20"/>
        <v>304396.01986468426</v>
      </c>
    </row>
    <row r="63" spans="6:26" x14ac:dyDescent="0.2">
      <c r="H63" s="3">
        <v>4</v>
      </c>
      <c r="I63" s="93">
        <f t="shared" si="21"/>
        <v>308254796.0439052</v>
      </c>
      <c r="J63" s="94">
        <f t="shared" si="12"/>
        <v>14236253.743351648</v>
      </c>
      <c r="K63" s="93">
        <f t="shared" si="14"/>
        <v>1541273.9802195262</v>
      </c>
      <c r="L63" s="95">
        <f t="shared" si="22"/>
        <v>98254796.043905243</v>
      </c>
      <c r="M63" s="95">
        <f t="shared" si="23"/>
        <v>14236253.743351648</v>
      </c>
      <c r="N63" s="96">
        <f t="shared" si="15"/>
        <v>376643.38483497011</v>
      </c>
      <c r="O63" s="97">
        <f t="shared" si="24"/>
        <v>70000000</v>
      </c>
      <c r="P63" s="98">
        <f t="shared" si="13"/>
        <v>0</v>
      </c>
      <c r="Q63" s="99">
        <f t="shared" si="16"/>
        <v>280000</v>
      </c>
      <c r="R63" s="100">
        <f t="shared" si="25"/>
        <v>60000000</v>
      </c>
      <c r="S63" s="101">
        <f t="shared" si="17"/>
        <v>0</v>
      </c>
      <c r="T63" s="102">
        <f t="shared" si="26"/>
        <v>250000</v>
      </c>
      <c r="U63" s="103">
        <f t="shared" si="27"/>
        <v>80000000</v>
      </c>
      <c r="V63" s="104">
        <f t="shared" ref="V63:V83" si="28">IF(U63=0,0,IF(R63&lt;Q7,Q7-S63,0))</f>
        <v>0</v>
      </c>
      <c r="W63" s="105">
        <f t="shared" si="18"/>
        <v>346666.66666666669</v>
      </c>
      <c r="X63" s="106">
        <f t="shared" si="19"/>
        <v>57592785.743577883</v>
      </c>
      <c r="Y63" s="106">
        <f t="shared" si="20"/>
        <v>287963.92871788942</v>
      </c>
    </row>
    <row r="64" spans="6:26" x14ac:dyDescent="0.2">
      <c r="H64" s="3">
        <v>5</v>
      </c>
      <c r="I64" s="93">
        <f t="shared" si="21"/>
        <v>294018542.30055356</v>
      </c>
      <c r="J64" s="94">
        <f t="shared" si="12"/>
        <v>14374026.196460001</v>
      </c>
      <c r="K64" s="93">
        <f t="shared" si="14"/>
        <v>1470092.7115027679</v>
      </c>
      <c r="L64" s="95">
        <f t="shared" si="22"/>
        <v>84018542.30055359</v>
      </c>
      <c r="M64" s="95">
        <f t="shared" si="23"/>
        <v>14374026.196460001</v>
      </c>
      <c r="N64" s="96">
        <f t="shared" si="15"/>
        <v>322071.07881878875</v>
      </c>
      <c r="O64" s="97">
        <f t="shared" si="24"/>
        <v>70000000</v>
      </c>
      <c r="P64" s="98">
        <f t="shared" si="13"/>
        <v>0</v>
      </c>
      <c r="Q64" s="99">
        <f t="shared" si="16"/>
        <v>280000</v>
      </c>
      <c r="R64" s="100">
        <f t="shared" si="25"/>
        <v>60000000</v>
      </c>
      <c r="S64" s="101">
        <f t="shared" si="17"/>
        <v>0</v>
      </c>
      <c r="T64" s="102">
        <f t="shared" si="26"/>
        <v>250000</v>
      </c>
      <c r="U64" s="103">
        <f t="shared" si="27"/>
        <v>80000000</v>
      </c>
      <c r="V64" s="104">
        <f t="shared" si="28"/>
        <v>0</v>
      </c>
      <c r="W64" s="105">
        <f t="shared" si="18"/>
        <v>346666.66666666669</v>
      </c>
      <c r="X64" s="106">
        <f t="shared" si="19"/>
        <v>54270993.203462489</v>
      </c>
      <c r="Y64" s="106">
        <f t="shared" si="20"/>
        <v>271354.96601731243</v>
      </c>
    </row>
    <row r="65" spans="8:25" x14ac:dyDescent="0.2">
      <c r="H65" s="3">
        <v>6</v>
      </c>
      <c r="I65" s="93">
        <f t="shared" si="21"/>
        <v>279644516.10409355</v>
      </c>
      <c r="J65" s="94">
        <f t="shared" si="12"/>
        <v>14497713.013014417</v>
      </c>
      <c r="K65" s="93">
        <f t="shared" si="14"/>
        <v>1398222.5805204678</v>
      </c>
      <c r="L65" s="95">
        <f t="shared" si="22"/>
        <v>69644516.104093581</v>
      </c>
      <c r="M65" s="95">
        <f t="shared" si="23"/>
        <v>14497713.013014417</v>
      </c>
      <c r="N65" s="96">
        <f t="shared" si="15"/>
        <v>266970.64506569208</v>
      </c>
      <c r="O65" s="97">
        <f t="shared" si="24"/>
        <v>70000000</v>
      </c>
      <c r="P65" s="98">
        <f t="shared" si="13"/>
        <v>0</v>
      </c>
      <c r="Q65" s="99">
        <f t="shared" si="16"/>
        <v>280000</v>
      </c>
      <c r="R65" s="100">
        <f t="shared" si="25"/>
        <v>60000000</v>
      </c>
      <c r="S65" s="101">
        <f t="shared" si="17"/>
        <v>0</v>
      </c>
      <c r="T65" s="102">
        <f t="shared" si="26"/>
        <v>250000</v>
      </c>
      <c r="U65" s="103">
        <f t="shared" si="27"/>
        <v>80000000</v>
      </c>
      <c r="V65" s="104">
        <f t="shared" si="28"/>
        <v>0</v>
      </c>
      <c r="W65" s="105">
        <f t="shared" si="18"/>
        <v>346666.66666666669</v>
      </c>
      <c r="X65" s="106">
        <f t="shared" si="19"/>
        <v>50917053.757621825</v>
      </c>
      <c r="Y65" s="106">
        <f t="shared" si="20"/>
        <v>254585.2687881091</v>
      </c>
    </row>
    <row r="66" spans="8:25" x14ac:dyDescent="0.2">
      <c r="H66" s="3">
        <v>7</v>
      </c>
      <c r="I66" s="93">
        <f t="shared" si="21"/>
        <v>265146803.09107915</v>
      </c>
      <c r="J66" s="94">
        <f t="shared" si="12"/>
        <v>14607082.024646452</v>
      </c>
      <c r="K66" s="93">
        <f t="shared" si="14"/>
        <v>1325734.0154553957</v>
      </c>
      <c r="L66" s="95">
        <f t="shared" si="22"/>
        <v>55146803.091079161</v>
      </c>
      <c r="M66" s="95">
        <f t="shared" si="23"/>
        <v>14607082.024646452</v>
      </c>
      <c r="N66" s="96">
        <f t="shared" si="15"/>
        <v>211396.07851580344</v>
      </c>
      <c r="O66" s="97">
        <f t="shared" si="24"/>
        <v>70000000</v>
      </c>
      <c r="P66" s="98">
        <f t="shared" si="13"/>
        <v>0</v>
      </c>
      <c r="Q66" s="99">
        <f t="shared" si="16"/>
        <v>280000</v>
      </c>
      <c r="R66" s="100">
        <f t="shared" si="25"/>
        <v>60000000</v>
      </c>
      <c r="S66" s="101">
        <f t="shared" si="17"/>
        <v>0</v>
      </c>
      <c r="T66" s="102">
        <f t="shared" si="26"/>
        <v>250000</v>
      </c>
      <c r="U66" s="103">
        <f t="shared" si="27"/>
        <v>80000000</v>
      </c>
      <c r="V66" s="104">
        <f t="shared" si="28"/>
        <v>0</v>
      </c>
      <c r="W66" s="105">
        <f t="shared" si="18"/>
        <v>346666.66666666669</v>
      </c>
      <c r="X66" s="106">
        <f t="shared" si="19"/>
        <v>47534254.054585122</v>
      </c>
      <c r="Y66" s="106">
        <f t="shared" si="20"/>
        <v>237671.27027292561</v>
      </c>
    </row>
    <row r="67" spans="8:25" x14ac:dyDescent="0.2">
      <c r="H67" s="3">
        <v>8</v>
      </c>
      <c r="I67" s="93">
        <f t="shared" si="21"/>
        <v>250539721.06643268</v>
      </c>
      <c r="J67" s="94">
        <f t="shared" si="12"/>
        <v>14701923.475274282</v>
      </c>
      <c r="K67" s="93">
        <f t="shared" si="14"/>
        <v>1252698.6053321634</v>
      </c>
      <c r="L67" s="95">
        <f t="shared" si="22"/>
        <v>40539721.066432707</v>
      </c>
      <c r="M67" s="95">
        <f t="shared" si="23"/>
        <v>14701923.475274282</v>
      </c>
      <c r="N67" s="96">
        <f t="shared" si="15"/>
        <v>155402.26408799205</v>
      </c>
      <c r="O67" s="97">
        <f t="shared" si="24"/>
        <v>70000000</v>
      </c>
      <c r="P67" s="98">
        <f t="shared" si="13"/>
        <v>0</v>
      </c>
      <c r="Q67" s="99">
        <f t="shared" si="16"/>
        <v>280000</v>
      </c>
      <c r="R67" s="100">
        <f t="shared" si="25"/>
        <v>60000000</v>
      </c>
      <c r="S67" s="101">
        <f t="shared" si="17"/>
        <v>0</v>
      </c>
      <c r="T67" s="102">
        <f t="shared" si="26"/>
        <v>250000</v>
      </c>
      <c r="U67" s="103">
        <f t="shared" si="27"/>
        <v>80000000</v>
      </c>
      <c r="V67" s="104">
        <f t="shared" si="28"/>
        <v>0</v>
      </c>
      <c r="W67" s="105">
        <f t="shared" si="18"/>
        <v>346666.66666666669</v>
      </c>
      <c r="X67" s="106">
        <f t="shared" si="19"/>
        <v>44125934.915500961</v>
      </c>
      <c r="Y67" s="106">
        <f t="shared" si="20"/>
        <v>220629.67457750477</v>
      </c>
    </row>
    <row r="68" spans="8:25" x14ac:dyDescent="0.2">
      <c r="H68" s="3">
        <v>9</v>
      </c>
      <c r="I68" s="93">
        <f t="shared" si="21"/>
        <v>235837797.59115839</v>
      </c>
      <c r="J68" s="94">
        <f t="shared" si="12"/>
        <v>14782050.656476215</v>
      </c>
      <c r="K68" s="93">
        <f t="shared" si="14"/>
        <v>1179188.9879557921</v>
      </c>
      <c r="L68" s="95">
        <f t="shared" si="22"/>
        <v>25837797.591158427</v>
      </c>
      <c r="M68" s="95">
        <f t="shared" si="23"/>
        <v>14782050.656476215</v>
      </c>
      <c r="N68" s="96">
        <f t="shared" si="15"/>
        <v>99044.890766107303</v>
      </c>
      <c r="O68" s="97">
        <f t="shared" si="24"/>
        <v>70000000</v>
      </c>
      <c r="P68" s="98">
        <f t="shared" si="13"/>
        <v>0</v>
      </c>
      <c r="Q68" s="99">
        <f t="shared" si="16"/>
        <v>280000</v>
      </c>
      <c r="R68" s="100">
        <f t="shared" si="25"/>
        <v>60000000</v>
      </c>
      <c r="S68" s="101">
        <f t="shared" si="17"/>
        <v>0</v>
      </c>
      <c r="T68" s="102">
        <f t="shared" si="26"/>
        <v>250000</v>
      </c>
      <c r="U68" s="103">
        <f t="shared" si="27"/>
        <v>80000000</v>
      </c>
      <c r="V68" s="104">
        <f t="shared" si="28"/>
        <v>0</v>
      </c>
      <c r="W68" s="105">
        <f t="shared" si="18"/>
        <v>346666.66666666669</v>
      </c>
      <c r="X68" s="106">
        <f t="shared" si="19"/>
        <v>40695486.104603626</v>
      </c>
      <c r="Y68" s="106">
        <f t="shared" si="20"/>
        <v>203477.43052301812</v>
      </c>
    </row>
    <row r="69" spans="8:25" x14ac:dyDescent="0.2">
      <c r="H69" s="3">
        <v>10</v>
      </c>
      <c r="I69" s="93">
        <f t="shared" si="21"/>
        <v>221055746.93468219</v>
      </c>
      <c r="J69" s="94">
        <f t="shared" si="12"/>
        <v>14847300.495963203</v>
      </c>
      <c r="K69" s="93">
        <f t="shared" si="14"/>
        <v>1105278.7346734109</v>
      </c>
      <c r="L69" s="95">
        <f t="shared" si="22"/>
        <v>11055746.934682213</v>
      </c>
      <c r="M69" s="95">
        <f t="shared" si="23"/>
        <v>11055746.934682213</v>
      </c>
      <c r="N69" s="96">
        <f t="shared" si="15"/>
        <v>42380.363249615148</v>
      </c>
      <c r="O69" s="97">
        <f t="shared" si="24"/>
        <v>70000000</v>
      </c>
      <c r="P69" s="98">
        <f t="shared" si="13"/>
        <v>3791553.56128099</v>
      </c>
      <c r="Q69" s="99">
        <f t="shared" si="16"/>
        <v>280000</v>
      </c>
      <c r="R69" s="100">
        <f t="shared" si="25"/>
        <v>60000000</v>
      </c>
      <c r="S69" s="101">
        <f t="shared" si="17"/>
        <v>0</v>
      </c>
      <c r="T69" s="102">
        <f t="shared" si="26"/>
        <v>250000</v>
      </c>
      <c r="U69" s="103">
        <f t="shared" si="27"/>
        <v>80000000</v>
      </c>
      <c r="V69" s="104">
        <f t="shared" si="28"/>
        <v>0</v>
      </c>
      <c r="W69" s="105">
        <f t="shared" si="18"/>
        <v>346666.66666666669</v>
      </c>
      <c r="X69" s="106">
        <f t="shared" si="19"/>
        <v>37246340.951425843</v>
      </c>
      <c r="Y69" s="106">
        <f t="shared" si="20"/>
        <v>186231.70475712919</v>
      </c>
    </row>
    <row r="70" spans="8:25" x14ac:dyDescent="0.2">
      <c r="H70" s="3">
        <v>11</v>
      </c>
      <c r="I70" s="93">
        <f t="shared" si="21"/>
        <v>206208446.43871897</v>
      </c>
      <c r="J70" s="94">
        <f t="shared" si="12"/>
        <v>14897534.096931094</v>
      </c>
      <c r="K70" s="93">
        <f t="shared" si="14"/>
        <v>1031042.2321935949</v>
      </c>
      <c r="L70" s="95">
        <f t="shared" si="22"/>
        <v>0</v>
      </c>
      <c r="M70" s="95">
        <f>IF(L70&gt;Q14,MIN(L70,Q14),L70)</f>
        <v>0</v>
      </c>
      <c r="N70" s="96">
        <f t="shared" si="15"/>
        <v>0</v>
      </c>
      <c r="O70" s="97">
        <f t="shared" si="24"/>
        <v>66208446.438719012</v>
      </c>
      <c r="P70" s="98">
        <f>IF(O70=0,0,IF(L70&lt;Q14,Q14-M70,0))</f>
        <v>14897534.096931094</v>
      </c>
      <c r="Q70" s="99">
        <f t="shared" si="16"/>
        <v>264833.78575487604</v>
      </c>
      <c r="R70" s="100">
        <f t="shared" si="25"/>
        <v>60000000</v>
      </c>
      <c r="S70" s="101">
        <f>IF(R70=0,0,IF(O70&lt;T14,T14-P70,0))</f>
        <v>0</v>
      </c>
      <c r="T70" s="102">
        <f t="shared" si="26"/>
        <v>250000</v>
      </c>
      <c r="U70" s="103">
        <f t="shared" si="27"/>
        <v>80000000</v>
      </c>
      <c r="V70" s="104">
        <f t="shared" si="28"/>
        <v>0</v>
      </c>
      <c r="W70" s="105">
        <f t="shared" si="18"/>
        <v>346666.66666666669</v>
      </c>
      <c r="X70" s="106">
        <f t="shared" si="19"/>
        <v>33908355.954410464</v>
      </c>
      <c r="Y70" s="106">
        <f t="shared" si="20"/>
        <v>169541.77977205231</v>
      </c>
    </row>
    <row r="71" spans="8:25" x14ac:dyDescent="0.2">
      <c r="H71" s="3">
        <v>12</v>
      </c>
      <c r="I71" s="93">
        <f t="shared" si="21"/>
        <v>191310912.34178787</v>
      </c>
      <c r="J71" s="94">
        <f t="shared" si="12"/>
        <v>14932637.22618507</v>
      </c>
      <c r="K71" s="93">
        <f t="shared" si="14"/>
        <v>956554.56170893938</v>
      </c>
      <c r="L71" s="95">
        <f t="shared" si="22"/>
        <v>0</v>
      </c>
      <c r="M71" s="95">
        <f t="shared" si="23"/>
        <v>0</v>
      </c>
      <c r="N71" s="96">
        <f t="shared" si="15"/>
        <v>0</v>
      </c>
      <c r="O71" s="97">
        <f t="shared" si="24"/>
        <v>51310912.341787919</v>
      </c>
      <c r="P71" s="98">
        <f>IF(L71&gt;Q15,0,IF(O71&lt;Q15,O71,Q15))</f>
        <v>14932637.22618507</v>
      </c>
      <c r="Q71" s="99">
        <f t="shared" si="16"/>
        <v>205243.64936715167</v>
      </c>
      <c r="R71" s="100">
        <f t="shared" si="25"/>
        <v>60000000</v>
      </c>
      <c r="S71" s="101">
        <f t="shared" ref="S71:S73" si="29">IF(R71=0,0,IF(O71&lt;T15,T15-P71,0))</f>
        <v>0</v>
      </c>
      <c r="T71" s="102">
        <f t="shared" si="26"/>
        <v>250000</v>
      </c>
      <c r="U71" s="103">
        <f t="shared" si="27"/>
        <v>80000000</v>
      </c>
      <c r="V71" s="104">
        <f t="shared" si="28"/>
        <v>0</v>
      </c>
      <c r="W71" s="105">
        <f t="shared" si="18"/>
        <v>346666.66666666669</v>
      </c>
      <c r="X71" s="106">
        <f t="shared" si="19"/>
        <v>30928849.135024242</v>
      </c>
      <c r="Y71" s="106">
        <f t="shared" si="20"/>
        <v>154644.2456751212</v>
      </c>
    </row>
    <row r="72" spans="8:25" x14ac:dyDescent="0.2">
      <c r="H72" s="3">
        <v>13</v>
      </c>
      <c r="I72" s="93">
        <f t="shared" si="21"/>
        <v>176378275.11560279</v>
      </c>
      <c r="J72" s="94">
        <f t="shared" si="12"/>
        <v>14952520.749052752</v>
      </c>
      <c r="K72" s="93">
        <f t="shared" si="14"/>
        <v>881891.37557801406</v>
      </c>
      <c r="L72" s="95">
        <f t="shared" si="22"/>
        <v>0</v>
      </c>
      <c r="M72" s="95">
        <f t="shared" si="23"/>
        <v>0</v>
      </c>
      <c r="N72" s="96">
        <f t="shared" si="15"/>
        <v>0</v>
      </c>
      <c r="O72" s="97">
        <f t="shared" si="24"/>
        <v>36378275.115602851</v>
      </c>
      <c r="P72" s="98">
        <f t="shared" ref="P72:P73" si="30">IF(L72&gt;Q16,0,IF(O72&lt;Q16,O72,Q16))</f>
        <v>14952520.749052752</v>
      </c>
      <c r="Q72" s="99">
        <f t="shared" si="16"/>
        <v>145513.10046241141</v>
      </c>
      <c r="R72" s="100">
        <f t="shared" si="25"/>
        <v>60000000</v>
      </c>
      <c r="S72" s="101">
        <f t="shared" si="29"/>
        <v>0</v>
      </c>
      <c r="T72" s="102">
        <f t="shared" si="26"/>
        <v>250000</v>
      </c>
      <c r="U72" s="103">
        <f t="shared" si="27"/>
        <v>80000000</v>
      </c>
      <c r="V72" s="104">
        <f t="shared" si="28"/>
        <v>0</v>
      </c>
      <c r="W72" s="105">
        <f t="shared" si="18"/>
        <v>346666.66666666669</v>
      </c>
      <c r="X72" s="106">
        <f t="shared" si="19"/>
        <v>27942321.689787228</v>
      </c>
      <c r="Y72" s="106">
        <f t="shared" si="20"/>
        <v>139711.60844893614</v>
      </c>
    </row>
    <row r="73" spans="8:25" x14ac:dyDescent="0.2">
      <c r="H73" s="3">
        <v>14</v>
      </c>
      <c r="I73" s="93">
        <f t="shared" si="21"/>
        <v>161425754.36655003</v>
      </c>
      <c r="J73" s="94">
        <f t="shared" si="12"/>
        <v>14957121.009232534</v>
      </c>
      <c r="K73" s="93">
        <f t="shared" si="14"/>
        <v>807128.77183275018</v>
      </c>
      <c r="L73" s="95">
        <f t="shared" si="22"/>
        <v>0</v>
      </c>
      <c r="M73" s="95">
        <f t="shared" si="23"/>
        <v>0</v>
      </c>
      <c r="N73" s="96">
        <f t="shared" si="15"/>
        <v>0</v>
      </c>
      <c r="O73" s="97">
        <f>IF(O72&lt;P72,0,IF(L73&lt;Q17,O72-P72,$N$89))</f>
        <v>21425754.366550099</v>
      </c>
      <c r="P73" s="98">
        <f t="shared" si="30"/>
        <v>14957121.009232534</v>
      </c>
      <c r="Q73" s="99">
        <f t="shared" si="16"/>
        <v>85703.017466200399</v>
      </c>
      <c r="R73" s="100">
        <f t="shared" si="25"/>
        <v>60000000</v>
      </c>
      <c r="S73" s="101">
        <f t="shared" si="29"/>
        <v>0</v>
      </c>
      <c r="T73" s="102">
        <f t="shared" si="26"/>
        <v>250000</v>
      </c>
      <c r="U73" s="103">
        <f t="shared" si="27"/>
        <v>80000000</v>
      </c>
      <c r="V73" s="104">
        <f t="shared" si="28"/>
        <v>0</v>
      </c>
      <c r="W73" s="105">
        <f t="shared" si="18"/>
        <v>346666.66666666669</v>
      </c>
      <c r="X73" s="106">
        <f t="shared" si="19"/>
        <v>24951817.539976679</v>
      </c>
      <c r="Y73" s="106">
        <f t="shared" si="20"/>
        <v>124759.08769988338</v>
      </c>
    </row>
    <row r="74" spans="8:25" x14ac:dyDescent="0.2">
      <c r="H74" s="3">
        <v>15</v>
      </c>
      <c r="I74" s="93">
        <f t="shared" si="21"/>
        <v>146468633.35731751</v>
      </c>
      <c r="J74" s="94">
        <f t="shared" si="12"/>
        <v>14946400.151864886</v>
      </c>
      <c r="K74" s="93">
        <f t="shared" si="14"/>
        <v>732343.16678658768</v>
      </c>
      <c r="L74" s="95">
        <f t="shared" si="22"/>
        <v>0</v>
      </c>
      <c r="M74" s="95">
        <f t="shared" si="23"/>
        <v>0</v>
      </c>
      <c r="N74" s="96">
        <f t="shared" si="15"/>
        <v>0</v>
      </c>
      <c r="O74" s="97">
        <f t="shared" si="24"/>
        <v>6468633.357317565</v>
      </c>
      <c r="P74" s="98">
        <f>IF(L74&gt;Q18,0,IF(O74&lt;Q18,O74,Q18))</f>
        <v>6468633.357317565</v>
      </c>
      <c r="Q74" s="99">
        <f t="shared" si="16"/>
        <v>25874.533429270261</v>
      </c>
      <c r="R74" s="100">
        <f>IF(R73&lt;S73,0,IF(O74&lt;Q18,R73-S73,$N$90))</f>
        <v>60000000</v>
      </c>
      <c r="S74" s="101">
        <f>IF(R74=0,0,IF(O74&lt;Q18,Q18-P74,0))</f>
        <v>8477766.7945473213</v>
      </c>
      <c r="T74" s="102">
        <f t="shared" si="26"/>
        <v>250000</v>
      </c>
      <c r="U74" s="103">
        <f t="shared" si="27"/>
        <v>80000000</v>
      </c>
      <c r="V74" s="104">
        <f t="shared" si="28"/>
        <v>0</v>
      </c>
      <c r="W74" s="105">
        <f t="shared" si="18"/>
        <v>346666.66666666669</v>
      </c>
      <c r="X74" s="106">
        <f t="shared" si="19"/>
        <v>21960393.338130176</v>
      </c>
      <c r="Y74" s="106">
        <f t="shared" si="20"/>
        <v>109801.96669065086</v>
      </c>
    </row>
    <row r="75" spans="8:25" x14ac:dyDescent="0.2">
      <c r="H75" s="3">
        <v>16</v>
      </c>
      <c r="I75" s="93">
        <f t="shared" si="21"/>
        <v>131522233.20545262</v>
      </c>
      <c r="J75" s="94">
        <f t="shared" si="12"/>
        <v>14920346.388261033</v>
      </c>
      <c r="K75" s="93">
        <f t="shared" si="14"/>
        <v>657611.16602726316</v>
      </c>
      <c r="L75" s="95">
        <f t="shared" si="22"/>
        <v>0</v>
      </c>
      <c r="M75" s="95">
        <f t="shared" si="23"/>
        <v>0</v>
      </c>
      <c r="N75" s="96">
        <f t="shared" si="15"/>
        <v>0</v>
      </c>
      <c r="O75" s="97">
        <f>IF(O74&lt;P74,0,IF(L75&lt;Q19,O74-P74,$N$89))</f>
        <v>0</v>
      </c>
      <c r="P75" s="98">
        <f>IF(O75=0,0,IF(L75&lt;Q19,Q19-M75,0))</f>
        <v>0</v>
      </c>
      <c r="Q75" s="99">
        <f t="shared" si="16"/>
        <v>0</v>
      </c>
      <c r="R75" s="100">
        <f t="shared" si="25"/>
        <v>51522233.205452681</v>
      </c>
      <c r="S75" s="101">
        <f>IF(O75&gt;Q19,0,IF(R75&lt;Q19,R75,Q19))</f>
        <v>14920346.388261033</v>
      </c>
      <c r="T75" s="102">
        <f t="shared" si="26"/>
        <v>214675.97168938618</v>
      </c>
      <c r="U75" s="103">
        <f t="shared" si="27"/>
        <v>80000000</v>
      </c>
      <c r="V75" s="104">
        <f t="shared" si="28"/>
        <v>0</v>
      </c>
      <c r="W75" s="105">
        <f t="shared" si="18"/>
        <v>346666.66666666669</v>
      </c>
      <c r="X75" s="106">
        <f t="shared" si="19"/>
        <v>19253705.534242108</v>
      </c>
      <c r="Y75" s="106">
        <f t="shared" si="20"/>
        <v>96268.527671210541</v>
      </c>
    </row>
    <row r="76" spans="8:25" x14ac:dyDescent="0.2">
      <c r="H76" s="3">
        <v>17</v>
      </c>
      <c r="I76" s="93">
        <f t="shared" si="21"/>
        <v>116601886.81719159</v>
      </c>
      <c r="J76" s="94">
        <f t="shared" si="12"/>
        <v>14878974.200879984</v>
      </c>
      <c r="K76" s="93">
        <f t="shared" si="14"/>
        <v>583009.43408595794</v>
      </c>
      <c r="L76" s="95">
        <f t="shared" si="22"/>
        <v>0</v>
      </c>
      <c r="M76" s="95">
        <f t="shared" si="23"/>
        <v>0</v>
      </c>
      <c r="N76" s="96">
        <f t="shared" si="15"/>
        <v>0</v>
      </c>
      <c r="O76" s="97">
        <f>IF(O75&lt;P75,0,IF(L76&lt;Q20,O75-P75,$N$89))</f>
        <v>0</v>
      </c>
      <c r="P76" s="98">
        <f t="shared" ref="P76:P83" si="31">IF(O76=0,0,IF(L76&lt;Q20,Q20-M76,0))</f>
        <v>0</v>
      </c>
      <c r="Q76" s="99">
        <f t="shared" si="16"/>
        <v>0</v>
      </c>
      <c r="R76" s="100">
        <f>IF(R75&lt;S75,0,IF(O76&lt;Q20,R75-S75,$N$90))</f>
        <v>36601886.817191646</v>
      </c>
      <c r="S76" s="101">
        <f t="shared" ref="S76:S83" si="32">IF(O76&gt;Q20,0,IF(R76&lt;Q20,R76,Q20))</f>
        <v>14878974.200879984</v>
      </c>
      <c r="T76" s="102">
        <f t="shared" si="26"/>
        <v>152507.86173829852</v>
      </c>
      <c r="U76" s="103">
        <f t="shared" si="27"/>
        <v>80000000</v>
      </c>
      <c r="V76" s="104">
        <f t="shared" si="28"/>
        <v>0</v>
      </c>
      <c r="W76" s="105">
        <f t="shared" si="18"/>
        <v>346666.66666666669</v>
      </c>
      <c r="X76" s="106">
        <f t="shared" si="19"/>
        <v>16766981.136198606</v>
      </c>
      <c r="Y76" s="106">
        <f t="shared" si="20"/>
        <v>83834.905680993033</v>
      </c>
    </row>
    <row r="77" spans="8:25" x14ac:dyDescent="0.2">
      <c r="H77" s="3">
        <v>18</v>
      </c>
      <c r="I77" s="93">
        <f t="shared" si="21"/>
        <v>101722912.61631161</v>
      </c>
      <c r="J77" s="94">
        <f t="shared" si="12"/>
        <v>14822324.487307185</v>
      </c>
      <c r="K77" s="93">
        <f t="shared" si="14"/>
        <v>508614.5630815581</v>
      </c>
      <c r="L77" s="95">
        <f t="shared" si="22"/>
        <v>0</v>
      </c>
      <c r="M77" s="95">
        <f t="shared" si="23"/>
        <v>0</v>
      </c>
      <c r="N77" s="96">
        <f t="shared" si="15"/>
        <v>0</v>
      </c>
      <c r="O77" s="97">
        <f t="shared" ref="O77:O83" si="33">IF(O76&lt;P76,0,IF(L77&lt;Q21,O76-P76,$N$89))</f>
        <v>0</v>
      </c>
      <c r="P77" s="98">
        <f>IF(O77=0,0,IF(L77&lt;Q21,Q21-M77,0))</f>
        <v>0</v>
      </c>
      <c r="Q77" s="99">
        <f t="shared" si="16"/>
        <v>0</v>
      </c>
      <c r="R77" s="100">
        <f t="shared" si="25"/>
        <v>21722912.616311662</v>
      </c>
      <c r="S77" s="101">
        <f t="shared" si="32"/>
        <v>14822324.487307185</v>
      </c>
      <c r="T77" s="102">
        <f t="shared" si="26"/>
        <v>90512.135901298592</v>
      </c>
      <c r="U77" s="103">
        <f t="shared" si="27"/>
        <v>80000000</v>
      </c>
      <c r="V77" s="104">
        <f t="shared" si="28"/>
        <v>0</v>
      </c>
      <c r="W77" s="105">
        <f t="shared" si="18"/>
        <v>346666.66666666669</v>
      </c>
      <c r="X77" s="106">
        <f t="shared" si="19"/>
        <v>14287152.10271861</v>
      </c>
      <c r="Y77" s="106">
        <f t="shared" si="20"/>
        <v>71435.76051359305</v>
      </c>
    </row>
    <row r="78" spans="8:25" x14ac:dyDescent="0.2">
      <c r="H78" s="3">
        <v>19</v>
      </c>
      <c r="I78" s="93">
        <f t="shared" si="21"/>
        <v>86900588.129004419</v>
      </c>
      <c r="J78" s="94">
        <f t="shared" si="12"/>
        <v>14750464.642158434</v>
      </c>
      <c r="K78" s="93">
        <f t="shared" si="14"/>
        <v>434502.94064502214</v>
      </c>
      <c r="L78" s="95">
        <f t="shared" si="22"/>
        <v>0</v>
      </c>
      <c r="M78" s="95">
        <f t="shared" si="23"/>
        <v>0</v>
      </c>
      <c r="N78" s="96">
        <f t="shared" si="15"/>
        <v>0</v>
      </c>
      <c r="O78" s="97">
        <f t="shared" si="33"/>
        <v>0</v>
      </c>
      <c r="P78" s="98">
        <f t="shared" si="31"/>
        <v>0</v>
      </c>
      <c r="Q78" s="99">
        <f t="shared" si="16"/>
        <v>0</v>
      </c>
      <c r="R78" s="100">
        <f t="shared" si="25"/>
        <v>6900588.1290044766</v>
      </c>
      <c r="S78" s="101">
        <f>IF(O78&gt;Q22,0,IF(R78&lt;Q22,R78,Q22))</f>
        <v>6900588.1290044766</v>
      </c>
      <c r="T78" s="102">
        <f>R78*$O$90/12</f>
        <v>28752.450537518656</v>
      </c>
      <c r="U78" s="103">
        <f t="shared" si="27"/>
        <v>80000000</v>
      </c>
      <c r="V78" s="104">
        <f t="shared" si="28"/>
        <v>7849876.5131539572</v>
      </c>
      <c r="W78" s="105">
        <f>U78*$O$91/12</f>
        <v>346666.66666666669</v>
      </c>
      <c r="X78" s="106">
        <f t="shared" si="19"/>
        <v>11816764.688167414</v>
      </c>
      <c r="Y78" s="106">
        <f t="shared" si="20"/>
        <v>59083.823440837063</v>
      </c>
    </row>
    <row r="79" spans="8:25" x14ac:dyDescent="0.2">
      <c r="H79" s="3">
        <v>20</v>
      </c>
      <c r="I79" s="93">
        <f t="shared" si="21"/>
        <v>72150123.486845985</v>
      </c>
      <c r="J79" s="94">
        <f t="shared" si="12"/>
        <v>14663488.576007925</v>
      </c>
      <c r="K79" s="93">
        <f t="shared" si="14"/>
        <v>360750.61743422993</v>
      </c>
      <c r="L79" s="95">
        <f t="shared" si="22"/>
        <v>0</v>
      </c>
      <c r="M79" s="95">
        <f t="shared" si="23"/>
        <v>0</v>
      </c>
      <c r="N79" s="96">
        <f t="shared" si="15"/>
        <v>0</v>
      </c>
      <c r="O79" s="97">
        <f t="shared" si="33"/>
        <v>0</v>
      </c>
      <c r="P79" s="98">
        <f t="shared" si="31"/>
        <v>0</v>
      </c>
      <c r="Q79" s="99">
        <f t="shared" si="16"/>
        <v>0</v>
      </c>
      <c r="R79" s="100">
        <f t="shared" si="25"/>
        <v>0</v>
      </c>
      <c r="S79" s="101">
        <f t="shared" si="32"/>
        <v>0</v>
      </c>
      <c r="T79" s="102">
        <f t="shared" si="26"/>
        <v>0</v>
      </c>
      <c r="U79" s="103">
        <f t="shared" si="27"/>
        <v>72150123.486846045</v>
      </c>
      <c r="V79" s="104">
        <f>IF(U79=0,0,IF(R79&lt;Q23,Q23-S79,0))</f>
        <v>14663488.576007925</v>
      </c>
      <c r="W79" s="105">
        <f t="shared" si="18"/>
        <v>312650.53510966618</v>
      </c>
      <c r="X79" s="106">
        <f>($P$88*L79+$P$89*O79+$P$90*R79+$P$91*U79)/$O$92</f>
        <v>9620016.4649128057</v>
      </c>
      <c r="Y79" s="106">
        <f t="shared" si="20"/>
        <v>48100.082324564028</v>
      </c>
    </row>
    <row r="80" spans="8:25" x14ac:dyDescent="0.2">
      <c r="H80" s="3">
        <v>21</v>
      </c>
      <c r="I80" s="93">
        <f t="shared" si="21"/>
        <v>57486634.91083806</v>
      </c>
      <c r="J80" s="94">
        <f t="shared" si="12"/>
        <v>14561516.670621702</v>
      </c>
      <c r="K80" s="93">
        <f t="shared" si="14"/>
        <v>287433.17455419031</v>
      </c>
      <c r="L80" s="95">
        <f t="shared" si="22"/>
        <v>0</v>
      </c>
      <c r="M80" s="95">
        <f t="shared" si="23"/>
        <v>0</v>
      </c>
      <c r="N80" s="96">
        <f t="shared" si="15"/>
        <v>0</v>
      </c>
      <c r="O80" s="97">
        <f t="shared" si="33"/>
        <v>0</v>
      </c>
      <c r="P80" s="98">
        <f t="shared" si="31"/>
        <v>0</v>
      </c>
      <c r="Q80" s="99">
        <f t="shared" si="16"/>
        <v>0</v>
      </c>
      <c r="R80" s="100">
        <f t="shared" si="25"/>
        <v>0</v>
      </c>
      <c r="S80" s="101">
        <f>IF(O80&gt;Q24,0,IF(R80&lt;Q24,R80,Q24))</f>
        <v>0</v>
      </c>
      <c r="T80" s="102">
        <f t="shared" si="26"/>
        <v>0</v>
      </c>
      <c r="U80" s="103">
        <f t="shared" si="27"/>
        <v>57486634.91083812</v>
      </c>
      <c r="V80" s="104">
        <f t="shared" si="28"/>
        <v>14561516.670621702</v>
      </c>
      <c r="W80" s="105">
        <f t="shared" si="18"/>
        <v>249108.75128029849</v>
      </c>
      <c r="X80" s="106">
        <f>($P$88*L80+$P$89*O80+$P$90*R80+$P$91*U80)/$O$92</f>
        <v>7664884.6547784163</v>
      </c>
      <c r="Y80" s="106">
        <f t="shared" si="20"/>
        <v>38324.423273892076</v>
      </c>
    </row>
    <row r="81" spans="8:25" x14ac:dyDescent="0.2">
      <c r="H81" s="3">
        <v>22</v>
      </c>
      <c r="I81" s="93">
        <f t="shared" si="21"/>
        <v>42925118.240216359</v>
      </c>
      <c r="J81" s="94">
        <f t="shared" si="12"/>
        <v>14444695.669964427</v>
      </c>
      <c r="K81" s="93">
        <f t="shared" si="14"/>
        <v>214625.59120108184</v>
      </c>
      <c r="L81" s="95">
        <f t="shared" si="22"/>
        <v>0</v>
      </c>
      <c r="M81" s="95">
        <f t="shared" si="23"/>
        <v>0</v>
      </c>
      <c r="N81" s="96">
        <f t="shared" si="15"/>
        <v>0</v>
      </c>
      <c r="O81" s="97">
        <f t="shared" si="33"/>
        <v>0</v>
      </c>
      <c r="P81" s="98">
        <f t="shared" si="31"/>
        <v>0</v>
      </c>
      <c r="Q81" s="99">
        <f t="shared" si="16"/>
        <v>0</v>
      </c>
      <c r="R81" s="100">
        <f t="shared" si="25"/>
        <v>0</v>
      </c>
      <c r="S81" s="101">
        <f t="shared" si="32"/>
        <v>0</v>
      </c>
      <c r="T81" s="102">
        <f t="shared" si="26"/>
        <v>0</v>
      </c>
      <c r="U81" s="103">
        <f t="shared" si="27"/>
        <v>42925118.240216419</v>
      </c>
      <c r="V81" s="104">
        <f t="shared" si="28"/>
        <v>14444695.669964427</v>
      </c>
      <c r="W81" s="105">
        <f t="shared" si="18"/>
        <v>186008.84570760446</v>
      </c>
      <c r="X81" s="106">
        <f t="shared" si="19"/>
        <v>5723349.0986955231</v>
      </c>
      <c r="Y81" s="106">
        <f t="shared" si="20"/>
        <v>28616.745493477614</v>
      </c>
    </row>
    <row r="82" spans="8:25" x14ac:dyDescent="0.2">
      <c r="H82" s="3">
        <v>23</v>
      </c>
      <c r="I82" s="93">
        <f t="shared" si="21"/>
        <v>28480422.570251934</v>
      </c>
      <c r="J82" s="94">
        <f t="shared" si="12"/>
        <v>14313198.506638877</v>
      </c>
      <c r="K82" s="93">
        <f t="shared" si="14"/>
        <v>142402.11285125968</v>
      </c>
      <c r="L82" s="95">
        <f t="shared" si="22"/>
        <v>0</v>
      </c>
      <c r="M82" s="95">
        <f t="shared" si="23"/>
        <v>0</v>
      </c>
      <c r="N82" s="96">
        <f t="shared" si="15"/>
        <v>0</v>
      </c>
      <c r="O82" s="97">
        <f t="shared" si="33"/>
        <v>0</v>
      </c>
      <c r="P82" s="98">
        <f>IF(O82=0,0,IF(L82&lt;Q26,Q26-M82,0))</f>
        <v>0</v>
      </c>
      <c r="Q82" s="99">
        <f t="shared" si="16"/>
        <v>0</v>
      </c>
      <c r="R82" s="100">
        <f t="shared" si="25"/>
        <v>0</v>
      </c>
      <c r="S82" s="101">
        <f>IF(O82&gt;Q26,0,IF(R82&lt;Q26,R82,Q26))</f>
        <v>0</v>
      </c>
      <c r="T82" s="102">
        <f t="shared" si="26"/>
        <v>0</v>
      </c>
      <c r="U82" s="103">
        <f t="shared" si="27"/>
        <v>28480422.570251994</v>
      </c>
      <c r="V82" s="104">
        <f t="shared" si="28"/>
        <v>14313198.506638877</v>
      </c>
      <c r="W82" s="105">
        <f t="shared" si="18"/>
        <v>123415.16447109198</v>
      </c>
      <c r="X82" s="106">
        <f t="shared" si="19"/>
        <v>3797389.6760335993</v>
      </c>
      <c r="Y82" s="106">
        <f t="shared" si="20"/>
        <v>18986.948380167996</v>
      </c>
    </row>
    <row r="83" spans="8:25" x14ac:dyDescent="0.2">
      <c r="H83" s="3">
        <v>24</v>
      </c>
      <c r="I83" s="93">
        <f t="shared" si="21"/>
        <v>14167224.063613057</v>
      </c>
      <c r="J83" s="94">
        <f t="shared" si="12"/>
        <v>14167224.063613053</v>
      </c>
      <c r="K83" s="93">
        <f t="shared" si="14"/>
        <v>70836.120318065296</v>
      </c>
      <c r="L83" s="95">
        <f t="shared" si="22"/>
        <v>0</v>
      </c>
      <c r="M83" s="95">
        <f t="shared" si="23"/>
        <v>0</v>
      </c>
      <c r="N83" s="96">
        <f t="shared" si="15"/>
        <v>0</v>
      </c>
      <c r="O83" s="97">
        <f t="shared" si="33"/>
        <v>0</v>
      </c>
      <c r="P83" s="98">
        <f t="shared" si="31"/>
        <v>0</v>
      </c>
      <c r="Q83" s="99">
        <f t="shared" si="16"/>
        <v>0</v>
      </c>
      <c r="R83" s="100">
        <f t="shared" si="25"/>
        <v>0</v>
      </c>
      <c r="S83" s="101">
        <f t="shared" si="32"/>
        <v>0</v>
      </c>
      <c r="T83" s="102">
        <f t="shared" si="26"/>
        <v>0</v>
      </c>
      <c r="U83" s="103">
        <f t="shared" si="27"/>
        <v>14167224.063613117</v>
      </c>
      <c r="V83" s="104">
        <f t="shared" si="28"/>
        <v>14167224.063613053</v>
      </c>
      <c r="W83" s="105">
        <f t="shared" si="18"/>
        <v>61391.304275656839</v>
      </c>
      <c r="X83" s="106">
        <f>($P$88*L83+$P$89*O83+$P$90*R83+$P$91*U83)/$O$92</f>
        <v>1888963.2084817491</v>
      </c>
      <c r="Y83" s="106">
        <f t="shared" si="20"/>
        <v>9444.8160424087455</v>
      </c>
    </row>
    <row r="84" spans="8:25" x14ac:dyDescent="0.2">
      <c r="U84" s="79"/>
      <c r="V84" s="80"/>
      <c r="W84" s="78"/>
    </row>
    <row r="87" spans="8:25" x14ac:dyDescent="0.2">
      <c r="M87" s="2" t="s">
        <v>75</v>
      </c>
      <c r="N87" s="2" t="s">
        <v>69</v>
      </c>
      <c r="O87" s="2" t="s">
        <v>23</v>
      </c>
      <c r="P87" s="2" t="s">
        <v>112</v>
      </c>
      <c r="Q87" s="2" t="s">
        <v>98</v>
      </c>
    </row>
    <row r="88" spans="8:25" x14ac:dyDescent="0.2">
      <c r="M88" s="63" t="s">
        <v>76</v>
      </c>
      <c r="N88" s="68">
        <v>140000000</v>
      </c>
      <c r="O88" s="73">
        <v>4.5999999999999999E-2</v>
      </c>
      <c r="P88" s="91">
        <f>$O$92-O88</f>
        <v>1.3999999999999999E-2</v>
      </c>
      <c r="Q88" s="92">
        <f>SUMPRODUCT(H60:H70,M60:M70)/L60/12</f>
        <v>0.45422398980299811</v>
      </c>
      <c r="R88" s="92">
        <f>SUMPRODUCT(H60:H70,M60:M70)/(L60*12)</f>
        <v>0.45422398980299816</v>
      </c>
    </row>
    <row r="89" spans="8:25" x14ac:dyDescent="0.2">
      <c r="M89" s="64" t="s">
        <v>77</v>
      </c>
      <c r="N89" s="69">
        <v>70000000</v>
      </c>
      <c r="O89" s="74">
        <v>4.8000000000000001E-2</v>
      </c>
      <c r="P89" s="91">
        <f t="shared" ref="P89" si="34">$O$92-O89</f>
        <v>1.1999999999999997E-2</v>
      </c>
      <c r="Q89" s="92">
        <f>SUMPRODUCT(H70:H74,P70:P74)/O70/12</f>
        <v>1.0621460596524746</v>
      </c>
    </row>
    <row r="90" spans="8:25" x14ac:dyDescent="0.2">
      <c r="M90" s="65" t="s">
        <v>78</v>
      </c>
      <c r="N90" s="70">
        <v>60000000</v>
      </c>
      <c r="O90" s="75">
        <v>0.05</v>
      </c>
      <c r="P90" s="91">
        <f>$O$92-O90</f>
        <v>9.999999999999995E-3</v>
      </c>
      <c r="Q90" s="92">
        <f>SUMPRODUCT(H74:H78,S74:S78)/R74/12</f>
        <v>1.412149473288834</v>
      </c>
    </row>
    <row r="91" spans="8:25" x14ac:dyDescent="0.2">
      <c r="M91" s="66" t="s">
        <v>79</v>
      </c>
      <c r="N91" s="71">
        <v>80000000</v>
      </c>
      <c r="O91" s="76">
        <v>5.1999999999999998E-2</v>
      </c>
      <c r="P91" s="91">
        <f>$O$92-O91</f>
        <v>8.0000000000000002E-3</v>
      </c>
      <c r="Q91" s="92">
        <f>SUMPRODUCT(H78:H83,V78:V83)/U78/12</f>
        <v>1.8075099200747544</v>
      </c>
    </row>
    <row r="92" spans="8:25" x14ac:dyDescent="0.2">
      <c r="M92" s="67" t="s">
        <v>80</v>
      </c>
      <c r="N92" s="72"/>
      <c r="O92" s="77">
        <v>0.06</v>
      </c>
      <c r="P92" s="82"/>
      <c r="Q92" s="82"/>
    </row>
    <row r="93" spans="8:25" x14ac:dyDescent="0.2">
      <c r="M93" s="83" t="s">
        <v>113</v>
      </c>
      <c r="N93" s="84">
        <f>SUM(N88:N91)</f>
        <v>350000000</v>
      </c>
      <c r="O93" s="83" t="s">
        <v>114</v>
      </c>
      <c r="P93" s="85"/>
      <c r="Q93" s="85">
        <f>J29</f>
        <v>1.0468679686973188</v>
      </c>
    </row>
  </sheetData>
  <mergeCells count="5">
    <mergeCell ref="X58:Y58"/>
    <mergeCell ref="L58:N58"/>
    <mergeCell ref="O58:Q58"/>
    <mergeCell ref="R58:T58"/>
    <mergeCell ref="U58:W58"/>
  </mergeCells>
  <pageMargins left="0.7" right="0.7" top="0.75" bottom="0.75" header="0.3" footer="0.3"/>
  <ignoredErrors>
    <ignoredError sqref="Q90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6B18-726C-6C4F-B776-34CAE4A0E03B}">
  <dimension ref="B3:AD165"/>
  <sheetViews>
    <sheetView topLeftCell="V51" zoomScale="133" workbookViewId="0">
      <selection activeCell="Y71" sqref="Y71"/>
    </sheetView>
  </sheetViews>
  <sheetFormatPr baseColWidth="10" defaultRowHeight="16" x14ac:dyDescent="0.2"/>
  <cols>
    <col min="27" max="27" width="13.1640625" bestFit="1" customWidth="1"/>
    <col min="30" max="30" width="13.1640625" bestFit="1" customWidth="1"/>
  </cols>
  <sheetData>
    <row r="3" spans="2:9" x14ac:dyDescent="0.2">
      <c r="B3" s="9" t="s">
        <v>115</v>
      </c>
      <c r="C3" s="9" t="s">
        <v>116</v>
      </c>
      <c r="D3" s="9"/>
    </row>
    <row r="4" spans="2:9" x14ac:dyDescent="0.2">
      <c r="G4" s="9" t="s">
        <v>24</v>
      </c>
      <c r="H4" s="9" t="s">
        <v>122</v>
      </c>
      <c r="I4" s="9"/>
    </row>
    <row r="6" spans="2:9" x14ac:dyDescent="0.2">
      <c r="B6" s="142" t="s">
        <v>117</v>
      </c>
      <c r="C6" s="142"/>
    </row>
    <row r="7" spans="2:9" x14ac:dyDescent="0.2">
      <c r="B7" s="31" t="s">
        <v>118</v>
      </c>
      <c r="C7" s="42">
        <v>2.8500000000000001E-2</v>
      </c>
    </row>
    <row r="8" spans="2:9" x14ac:dyDescent="0.2">
      <c r="B8" s="31" t="s">
        <v>119</v>
      </c>
      <c r="C8" s="42">
        <v>2.7E-2</v>
      </c>
    </row>
    <row r="9" spans="2:9" x14ac:dyDescent="0.2">
      <c r="B9" s="31" t="s">
        <v>120</v>
      </c>
      <c r="C9" s="42">
        <v>2.5100000000000001E-2</v>
      </c>
    </row>
    <row r="10" spans="2:9" x14ac:dyDescent="0.2">
      <c r="B10" s="31" t="s">
        <v>121</v>
      </c>
      <c r="C10" s="42">
        <v>2.4799999999999999E-2</v>
      </c>
    </row>
    <row r="12" spans="2:9" x14ac:dyDescent="0.2">
      <c r="B12" s="9" t="s">
        <v>5</v>
      </c>
      <c r="C12" s="6">
        <v>0.2</v>
      </c>
    </row>
    <row r="18" spans="11:24" x14ac:dyDescent="0.2">
      <c r="S18" s="110"/>
    </row>
    <row r="19" spans="11:24" x14ac:dyDescent="0.2">
      <c r="Q19" s="11"/>
      <c r="S19" s="11"/>
    </row>
    <row r="20" spans="11:24" x14ac:dyDescent="0.2">
      <c r="Q20" s="17"/>
    </row>
    <row r="21" spans="11:24" x14ac:dyDescent="0.2">
      <c r="Q21" s="15">
        <f>100*(MAX(Q23,8%)-MIN(5%,Q23))</f>
        <v>3.2338899683866384</v>
      </c>
    </row>
    <row r="22" spans="11:24" x14ac:dyDescent="0.2">
      <c r="Q22" s="12"/>
    </row>
    <row r="23" spans="11:24" ht="17" thickBot="1" x14ac:dyDescent="0.25">
      <c r="O23" s="17"/>
      <c r="Q23" s="14">
        <f>Q46*EXP(6*$C$12)</f>
        <v>8.2338899683866387E-2</v>
      </c>
      <c r="T23" s="113" t="s">
        <v>126</v>
      </c>
      <c r="U23" s="113" t="s">
        <v>127</v>
      </c>
      <c r="V23" s="113" t="s">
        <v>128</v>
      </c>
      <c r="W23" s="113" t="s">
        <v>129</v>
      </c>
      <c r="X23" s="113" t="s">
        <v>130</v>
      </c>
    </row>
    <row r="24" spans="11:24" x14ac:dyDescent="0.2">
      <c r="O24" s="15">
        <f>0.5*((Q21+Q27)/(1+O26))</f>
        <v>2.9520408045995921</v>
      </c>
      <c r="S24" s="110"/>
      <c r="T24" s="1" t="s">
        <v>131</v>
      </c>
      <c r="U24" s="5">
        <f>AVERAGE(K31,M29,O26,Q23)</f>
        <v>5.1744810956335409E-2</v>
      </c>
      <c r="V24" s="114">
        <f>100*(MAX(Q23,8%)-MIN(Q23,5%))</f>
        <v>3.2338899683866384</v>
      </c>
      <c r="W24" s="115">
        <f>0.5^3</f>
        <v>0.125</v>
      </c>
      <c r="X24">
        <f>1/(1+O26)/(1+M29)/(1+K31)</f>
        <v>0.88519505770841378</v>
      </c>
    </row>
    <row r="25" spans="11:24" x14ac:dyDescent="0.2">
      <c r="O25" s="12"/>
      <c r="S25" s="11"/>
    </row>
    <row r="26" spans="11:24" x14ac:dyDescent="0.2">
      <c r="M26" s="17"/>
      <c r="O26" s="14">
        <f>O46*EXP(4*$C$12)</f>
        <v>5.5861077305160947E-2</v>
      </c>
      <c r="Q26" s="17"/>
      <c r="T26" s="1" t="s">
        <v>132</v>
      </c>
      <c r="U26" s="5">
        <f>AVERAGE(K31,M29,O26,Q29)</f>
        <v>4.495843979202211E-2</v>
      </c>
      <c r="V26" s="114">
        <f>100*(MAX(Q29,8%)-MIN(Q29,5%))</f>
        <v>3</v>
      </c>
      <c r="W26" s="115">
        <f>0.5^2*(1-0.5)</f>
        <v>0.125</v>
      </c>
      <c r="X26">
        <f>1/(1+O26)/(1+M29)/(1+K31)</f>
        <v>0.88519505770841378</v>
      </c>
    </row>
    <row r="27" spans="11:24" x14ac:dyDescent="0.2">
      <c r="M27" s="15">
        <f>0.5*((O24+O30)/(1+M29))</f>
        <v>3.1099498496723492</v>
      </c>
      <c r="Q27" s="15">
        <f>100*(MAX(Q29,8%)-MIN(5%,Q29))</f>
        <v>3</v>
      </c>
      <c r="T27" s="1" t="s">
        <v>133</v>
      </c>
      <c r="U27" s="5">
        <f>AVERAGE(K31,M29,O32,Q29)</f>
        <v>4.0354370443430848E-2</v>
      </c>
      <c r="V27" s="114">
        <f>100*(MAX(Q29,8%)-MIN(Q29,5%))</f>
        <v>3</v>
      </c>
      <c r="W27" s="115">
        <f>0.5^2*(1-0.5)</f>
        <v>0.125</v>
      </c>
      <c r="X27">
        <f>1/(1+O32)/(1+M29)/(1+K31)</f>
        <v>0.90090866264650871</v>
      </c>
    </row>
    <row r="28" spans="11:24" x14ac:dyDescent="0.2">
      <c r="M28" s="12"/>
      <c r="Q28" s="12"/>
      <c r="T28" s="1" t="s">
        <v>134</v>
      </c>
      <c r="U28" s="5">
        <f>AVERAGE(K31,M35,O32,Q29)</f>
        <v>3.7034553734352271E-2</v>
      </c>
      <c r="V28" s="114">
        <f>100*(MAX(Q29,8%)-MIN(Q29,5%))</f>
        <v>3</v>
      </c>
      <c r="W28" s="115">
        <f>0.5^2*(1-0.5)</f>
        <v>0.125</v>
      </c>
      <c r="X28">
        <f>1/(1+O32)/(1+M35)/(1+K31)</f>
        <v>0.91255754923504828</v>
      </c>
    </row>
    <row r="29" spans="11:24" x14ac:dyDescent="0.2">
      <c r="M29" s="14">
        <f>M46*EXP(2*$C$12)</f>
        <v>4.0279266836314297E-2</v>
      </c>
      <c r="O29" s="17"/>
      <c r="Q29" s="14">
        <f>Q46*EXP(4*$C$12)</f>
        <v>5.51934150266132E-2</v>
      </c>
    </row>
    <row r="30" spans="11:24" x14ac:dyDescent="0.2">
      <c r="K30" s="111">
        <f>0.5*((M27+M33)/(1+K31))</f>
        <v>3.4783119989879574</v>
      </c>
      <c r="O30" s="15">
        <f>0.5*((Q27+Q33)/(1+O32))</f>
        <v>3.5183918944301231</v>
      </c>
      <c r="S30" s="110"/>
      <c r="T30" s="1" t="s">
        <v>135</v>
      </c>
      <c r="U30" s="5">
        <f>AVERAGE(K31,M29,O32,Q35)</f>
        <v>3.5805329812153425E-2</v>
      </c>
      <c r="V30" s="114">
        <f>100*(MAX(Q35,8%)-MIN(Q35,5%))</f>
        <v>4.3002747498496499</v>
      </c>
      <c r="W30" s="115">
        <f>0.5*(1-0.5)^2</f>
        <v>0.125</v>
      </c>
      <c r="X30">
        <f>1/(1+O32)/(1+M29)/(1+K31)</f>
        <v>0.90090866264650871</v>
      </c>
    </row>
    <row r="31" spans="11:24" x14ac:dyDescent="0.2">
      <c r="K31" s="18">
        <f>K46</f>
        <v>2.8500000000000001E-2</v>
      </c>
      <c r="O31" s="12"/>
      <c r="S31" s="11"/>
      <c r="T31" s="1" t="s">
        <v>136</v>
      </c>
      <c r="U31" s="5">
        <f>AVERAGE(K31,M35,O32,Q35)</f>
        <v>3.2485513103074848E-2</v>
      </c>
      <c r="V31" s="114">
        <f>100*(MAX(Q35,8%)-MIN(Q35,5%))</f>
        <v>4.3002747498496499</v>
      </c>
      <c r="W31" s="115">
        <f>0.5*(1-0.5)^2</f>
        <v>0.125</v>
      </c>
      <c r="X31">
        <f>1/(1+O32)/(1+M35)/(1+K31)</f>
        <v>0.91255754923504828</v>
      </c>
    </row>
    <row r="32" spans="11:24" x14ac:dyDescent="0.2">
      <c r="M32" s="17"/>
      <c r="O32" s="14">
        <f>O46*EXP(2*$C$12)</f>
        <v>3.7444799910795884E-2</v>
      </c>
      <c r="Q32" s="17"/>
      <c r="T32" s="1" t="s">
        <v>137</v>
      </c>
      <c r="U32" s="5">
        <f>AVERAGE(K31,M35,O38,Q35)</f>
        <v>2.939931312537588E-2</v>
      </c>
      <c r="V32" s="114">
        <f>100*(MAX(Q35,8%)-MIN(Q35,5%))</f>
        <v>4.3002747498496499</v>
      </c>
      <c r="W32" s="115">
        <f>0.5*(1-0.5)^2</f>
        <v>0.125</v>
      </c>
      <c r="X32">
        <f>1/(1+O38)/(1+M35)/(1+K31)</f>
        <v>0.92354705304188955</v>
      </c>
    </row>
    <row r="33" spans="11:24" x14ac:dyDescent="0.2">
      <c r="M33" s="15">
        <f>0.5*((O30+O36)/(1+M35))</f>
        <v>4.0449379322458787</v>
      </c>
      <c r="Q33" s="15">
        <f>100*(MAX(Q35,8%)-MIN(5%,Q35))</f>
        <v>4.3002747498496499</v>
      </c>
    </row>
    <row r="34" spans="11:24" x14ac:dyDescent="0.2">
      <c r="M34" s="12"/>
      <c r="O34" s="11"/>
      <c r="Q34" s="12"/>
      <c r="T34" s="1" t="s">
        <v>138</v>
      </c>
      <c r="U34" s="5">
        <f>AVERAGE(K31,M35,O38,Q41)</f>
        <v>2.6350000000000002E-2</v>
      </c>
      <c r="V34" s="114">
        <f>100*(MAX(Q41,8%)-MIN(Q41,5%))</f>
        <v>5.52</v>
      </c>
      <c r="W34" s="115">
        <f>(1-0.5)^3</f>
        <v>0.125</v>
      </c>
      <c r="X34">
        <f>1/(1+O38)/(1+M35)/(1+K31)</f>
        <v>0.92354705304188955</v>
      </c>
    </row>
    <row r="35" spans="11:24" ht="17" thickBot="1" x14ac:dyDescent="0.25">
      <c r="M35" s="19">
        <f>M46</f>
        <v>2.7E-2</v>
      </c>
      <c r="O35" s="17"/>
      <c r="Q35" s="14">
        <f>Q46*EXP(2*$C$12)</f>
        <v>3.6997252501503507E-2</v>
      </c>
      <c r="T35" s="112"/>
      <c r="U35" s="112"/>
      <c r="V35" s="112"/>
      <c r="W35" s="112"/>
      <c r="X35" s="112"/>
    </row>
    <row r="36" spans="11:24" x14ac:dyDescent="0.2">
      <c r="O36" s="15">
        <f>0.5*((Q33+Q39)/(1+O38))</f>
        <v>4.7899106184029119</v>
      </c>
      <c r="S36" s="110"/>
    </row>
    <row r="37" spans="11:24" x14ac:dyDescent="0.2">
      <c r="O37" s="12"/>
      <c r="S37" s="11"/>
      <c r="W37" s="35" t="s">
        <v>7</v>
      </c>
      <c r="X37" s="35">
        <f>SUMPRODUCT(V24:V34,W24:W34,X24:X34)</f>
        <v>3.4783119989879578</v>
      </c>
    </row>
    <row r="38" spans="11:24" x14ac:dyDescent="0.2">
      <c r="O38" s="19">
        <f>O46</f>
        <v>2.5100000000000001E-2</v>
      </c>
      <c r="Q38" s="17"/>
    </row>
    <row r="39" spans="11:24" x14ac:dyDescent="0.2">
      <c r="Q39" s="15">
        <f>100*(MAX(Q41,8%)-MIN(5%,Q41))</f>
        <v>5.52</v>
      </c>
    </row>
    <row r="40" spans="11:24" x14ac:dyDescent="0.2">
      <c r="Q40" s="12"/>
    </row>
    <row r="41" spans="11:24" x14ac:dyDescent="0.2">
      <c r="Q41" s="19">
        <f>Q46</f>
        <v>2.4799999999999999E-2</v>
      </c>
    </row>
    <row r="42" spans="11:24" x14ac:dyDescent="0.2">
      <c r="S42" s="110"/>
    </row>
    <row r="43" spans="11:24" x14ac:dyDescent="0.2">
      <c r="S43" s="11"/>
    </row>
    <row r="46" spans="11:24" x14ac:dyDescent="0.2">
      <c r="K46" s="21">
        <f>C7</f>
        <v>2.8500000000000001E-2</v>
      </c>
      <c r="L46" s="22"/>
      <c r="M46" s="23">
        <f>C8</f>
        <v>2.7E-2</v>
      </c>
      <c r="N46" s="22"/>
      <c r="O46" s="23">
        <f>C9</f>
        <v>2.5100000000000001E-2</v>
      </c>
      <c r="P46" s="22"/>
      <c r="Q46" s="23">
        <f>C10</f>
        <v>2.4799999999999999E-2</v>
      </c>
      <c r="R46" s="1"/>
      <c r="S46" s="1"/>
    </row>
    <row r="47" spans="11:24" x14ac:dyDescent="0.2">
      <c r="K47" s="24" t="s">
        <v>13</v>
      </c>
      <c r="L47" s="24"/>
      <c r="M47" s="24" t="s">
        <v>14</v>
      </c>
      <c r="N47" s="24"/>
      <c r="O47" s="24" t="s">
        <v>15</v>
      </c>
      <c r="P47" s="24"/>
      <c r="Q47" s="24" t="s">
        <v>16</v>
      </c>
      <c r="R47" s="1"/>
      <c r="S47" s="1"/>
    </row>
    <row r="63" spans="7:30" x14ac:dyDescent="0.2">
      <c r="G63" t="s">
        <v>139</v>
      </c>
      <c r="X63" s="116"/>
      <c r="Y63" s="117"/>
      <c r="Z63" s="117"/>
      <c r="AA63" s="117"/>
      <c r="AB63" s="117"/>
      <c r="AC63" s="117"/>
      <c r="AD63" s="118"/>
    </row>
    <row r="64" spans="7:30" x14ac:dyDescent="0.2">
      <c r="X64" s="119" t="s">
        <v>155</v>
      </c>
      <c r="Z64">
        <v>100</v>
      </c>
      <c r="AA64" s="9" t="s">
        <v>156</v>
      </c>
      <c r="AB64">
        <f ca="1">STDEV(V66:V165)</f>
        <v>0.75733334885794534</v>
      </c>
      <c r="AD64" s="120"/>
    </row>
    <row r="65" spans="7:30" x14ac:dyDescent="0.2">
      <c r="G65" s="31" t="s">
        <v>140</v>
      </c>
      <c r="H65" s="31" t="s">
        <v>141</v>
      </c>
      <c r="I65" s="31" t="s">
        <v>142</v>
      </c>
      <c r="J65" s="31" t="s">
        <v>143</v>
      </c>
      <c r="K65" s="31" t="s">
        <v>144</v>
      </c>
      <c r="M65" s="31" t="s">
        <v>145</v>
      </c>
      <c r="N65" s="31" t="s">
        <v>146</v>
      </c>
      <c r="O65" s="31" t="s">
        <v>141</v>
      </c>
      <c r="P65" s="31" t="s">
        <v>142</v>
      </c>
      <c r="Q65" s="31" t="s">
        <v>143</v>
      </c>
      <c r="R65" s="31" t="s">
        <v>144</v>
      </c>
      <c r="S65" s="31" t="s">
        <v>130</v>
      </c>
      <c r="T65" s="31" t="s">
        <v>127</v>
      </c>
      <c r="U65" s="31" t="s">
        <v>128</v>
      </c>
      <c r="V65" s="31" t="s">
        <v>147</v>
      </c>
      <c r="X65" s="119" t="s">
        <v>148</v>
      </c>
      <c r="Y65">
        <f ca="1">AVERAGE(V66:V165)</f>
        <v>3.3403210634380378</v>
      </c>
      <c r="AA65" s="9" t="s">
        <v>151</v>
      </c>
      <c r="AB65">
        <f ca="1">(STDEV(V66:V166))/SQRT(100)</f>
        <v>7.5733334885794534E-2</v>
      </c>
      <c r="AD65" s="120"/>
    </row>
    <row r="66" spans="7:30" x14ac:dyDescent="0.2">
      <c r="G66" s="8">
        <v>1</v>
      </c>
      <c r="H66" s="42">
        <f>K31</f>
        <v>2.8500000000000001E-2</v>
      </c>
      <c r="I66" s="38">
        <f>M29</f>
        <v>4.0279266836314297E-2</v>
      </c>
      <c r="J66" s="38">
        <f>O26</f>
        <v>5.5861077305160947E-2</v>
      </c>
      <c r="K66" s="38">
        <f>Q23</f>
        <v>8.2338899683866387E-2</v>
      </c>
      <c r="M66" s="8">
        <v>1</v>
      </c>
      <c r="N66" s="8">
        <f ca="1">RANDBETWEEN(1,8)</f>
        <v>1</v>
      </c>
      <c r="O66" s="127">
        <f ca="1">VLOOKUP(N66,$G$66:$K$73,2)</f>
        <v>2.8500000000000001E-2</v>
      </c>
      <c r="P66" s="127">
        <f ca="1">VLOOKUP(N66,$G$66:$K$73,3)</f>
        <v>4.0279266836314297E-2</v>
      </c>
      <c r="Q66" s="127">
        <f ca="1">VLOOKUP(N66,$G$66:$K$73,4)</f>
        <v>5.5861077305160947E-2</v>
      </c>
      <c r="R66" s="127">
        <f ca="1">VLOOKUP(N66,$G$66:$K$73,5)</f>
        <v>8.2338899683866387E-2</v>
      </c>
      <c r="S66" s="8">
        <f ca="1">1/((1+O66)*(1+P66)*(1+Q66))</f>
        <v>0.88519505770841389</v>
      </c>
      <c r="T66" s="42">
        <f ca="1">AVERAGE(O66:R66)</f>
        <v>5.1744810956335409E-2</v>
      </c>
      <c r="U66" s="128">
        <f ca="1">100*(MAX(R66,8%)-MIN(R66,5%))</f>
        <v>3.2338899683866384</v>
      </c>
      <c r="V66" s="8">
        <f ca="1">S66*U66</f>
        <v>2.8626234171886713</v>
      </c>
      <c r="X66" s="119" t="s">
        <v>149</v>
      </c>
      <c r="Y66">
        <f>X37</f>
        <v>3.4783119989879578</v>
      </c>
      <c r="AA66" s="9" t="s">
        <v>152</v>
      </c>
      <c r="AB66" s="6">
        <v>0.95</v>
      </c>
      <c r="AC66" s="121" t="s">
        <v>157</v>
      </c>
      <c r="AD66" s="122">
        <f>NORMSINV(1-(1-AB66)/2)</f>
        <v>1.9599639845400536</v>
      </c>
    </row>
    <row r="67" spans="7:30" x14ac:dyDescent="0.2">
      <c r="G67" s="8">
        <v>2</v>
      </c>
      <c r="H67" s="42">
        <f>K31</f>
        <v>2.8500000000000001E-2</v>
      </c>
      <c r="I67" s="38">
        <f>M29</f>
        <v>4.0279266836314297E-2</v>
      </c>
      <c r="J67" s="38">
        <f>O26</f>
        <v>5.5861077305160947E-2</v>
      </c>
      <c r="K67" s="38">
        <f>Q29</f>
        <v>5.51934150266132E-2</v>
      </c>
      <c r="M67" s="8">
        <v>2</v>
      </c>
      <c r="N67" s="8">
        <f t="shared" ref="N67" ca="1" si="0">RANDBETWEEN(1,8)</f>
        <v>4</v>
      </c>
      <c r="O67" s="127">
        <f t="shared" ref="O67:O130" ca="1" si="1">VLOOKUP(N67,$G$66:$K$73,2)</f>
        <v>2.8500000000000001E-2</v>
      </c>
      <c r="P67" s="127">
        <f t="shared" ref="P67:P130" ca="1" si="2">VLOOKUP(N67,$G$66:$K$73,3)</f>
        <v>2.7E-2</v>
      </c>
      <c r="Q67" s="127">
        <f t="shared" ref="Q67:Q130" ca="1" si="3">VLOOKUP(N67,$G$66:$K$73,4)</f>
        <v>3.7444799910795884E-2</v>
      </c>
      <c r="R67" s="127">
        <f t="shared" ref="R67:R130" ca="1" si="4">VLOOKUP(N67,$G$66:$K$73,5)</f>
        <v>5.51934150266132E-2</v>
      </c>
      <c r="S67" s="8">
        <f ca="1">1/((1+O67)*(1+P67)*(1+Q67))</f>
        <v>0.91255754923504817</v>
      </c>
      <c r="T67" s="42">
        <f t="shared" ref="T67:T130" ca="1" si="5">AVERAGE(O67:R67)</f>
        <v>3.7034553734352271E-2</v>
      </c>
      <c r="U67" s="128">
        <f t="shared" ref="U67:U130" ca="1" si="6">100*(MAX(R67,8%)-MIN(R67,5%))</f>
        <v>3</v>
      </c>
      <c r="V67" s="8">
        <f t="shared" ref="V67:V130" ca="1" si="7">S67*U67</f>
        <v>2.7376726477051445</v>
      </c>
      <c r="X67" s="119" t="s">
        <v>150</v>
      </c>
      <c r="Y67">
        <f ca="1">Y66-Y65</f>
        <v>0.13799093554992004</v>
      </c>
      <c r="AA67" s="9" t="s">
        <v>153</v>
      </c>
      <c r="AB67">
        <f ca="1">Y65-AB65*NORMSINV((1-(1-AB66)/2))</f>
        <v>3.1918864546327699</v>
      </c>
      <c r="AD67" s="120"/>
    </row>
    <row r="68" spans="7:30" x14ac:dyDescent="0.2">
      <c r="G68" s="8">
        <v>3</v>
      </c>
      <c r="H68" s="42">
        <f>K31</f>
        <v>2.8500000000000001E-2</v>
      </c>
      <c r="I68" s="38">
        <f>M29</f>
        <v>4.0279266836314297E-2</v>
      </c>
      <c r="J68" s="38">
        <f>O32</f>
        <v>3.7444799910795884E-2</v>
      </c>
      <c r="K68" s="38">
        <f>Q29</f>
        <v>5.51934150266132E-2</v>
      </c>
      <c r="M68" s="8">
        <v>3</v>
      </c>
      <c r="N68" s="8">
        <f ca="1">RANDBETWEEN(1,8)</f>
        <v>1</v>
      </c>
      <c r="O68" s="127">
        <f t="shared" ca="1" si="1"/>
        <v>2.8500000000000001E-2</v>
      </c>
      <c r="P68" s="127">
        <f t="shared" ca="1" si="2"/>
        <v>4.0279266836314297E-2</v>
      </c>
      <c r="Q68" s="127">
        <f t="shared" ca="1" si="3"/>
        <v>5.5861077305160947E-2</v>
      </c>
      <c r="R68" s="127">
        <f t="shared" ca="1" si="4"/>
        <v>8.2338899683866387E-2</v>
      </c>
      <c r="S68" s="8">
        <f t="shared" ref="S68:S131" ca="1" si="8">1/((1+O68)*(1+P68)*(1+Q68))</f>
        <v>0.88519505770841389</v>
      </c>
      <c r="T68" s="42">
        <f t="shared" ca="1" si="5"/>
        <v>5.1744810956335409E-2</v>
      </c>
      <c r="U68" s="128">
        <f t="shared" ca="1" si="6"/>
        <v>3.2338899683866384</v>
      </c>
      <c r="V68" s="8">
        <f t="shared" ca="1" si="7"/>
        <v>2.8626234171886713</v>
      </c>
      <c r="X68" s="123"/>
      <c r="Y68" s="124"/>
      <c r="Z68" s="124"/>
      <c r="AA68" s="125" t="s">
        <v>154</v>
      </c>
      <c r="AB68" s="124">
        <f ca="1">Y65+AB65*NORMSINV(1-(1-AB66)/2)</f>
        <v>3.4887556722433057</v>
      </c>
      <c r="AC68" s="124" t="str">
        <f ca="1">IF(AND(Y66&gt;=AB67,Y66&lt;=AB68), "In", "Out")</f>
        <v>In</v>
      </c>
      <c r="AD68" s="126"/>
    </row>
    <row r="69" spans="7:30" x14ac:dyDescent="0.2">
      <c r="G69" s="8">
        <v>4</v>
      </c>
      <c r="H69" s="42">
        <f>K31</f>
        <v>2.8500000000000001E-2</v>
      </c>
      <c r="I69" s="38">
        <f>M35</f>
        <v>2.7E-2</v>
      </c>
      <c r="J69" s="38">
        <f>O32</f>
        <v>3.7444799910795884E-2</v>
      </c>
      <c r="K69" s="38">
        <f>Q29</f>
        <v>5.51934150266132E-2</v>
      </c>
      <c r="M69" s="8">
        <v>4</v>
      </c>
      <c r="N69" s="8">
        <f ca="1">RANDBETWEEN(1,8)</f>
        <v>3</v>
      </c>
      <c r="O69" s="127">
        <f t="shared" ca="1" si="1"/>
        <v>2.8500000000000001E-2</v>
      </c>
      <c r="P69" s="127">
        <f t="shared" ca="1" si="2"/>
        <v>4.0279266836314297E-2</v>
      </c>
      <c r="Q69" s="127">
        <f t="shared" ca="1" si="3"/>
        <v>3.7444799910795884E-2</v>
      </c>
      <c r="R69" s="127">
        <f t="shared" ca="1" si="4"/>
        <v>5.51934150266132E-2</v>
      </c>
      <c r="S69" s="8">
        <f t="shared" ca="1" si="8"/>
        <v>0.90090866264650871</v>
      </c>
      <c r="T69" s="42">
        <f t="shared" ca="1" si="5"/>
        <v>4.0354370443430848E-2</v>
      </c>
      <c r="U69" s="128">
        <f t="shared" ca="1" si="6"/>
        <v>3</v>
      </c>
      <c r="V69" s="8">
        <f t="shared" ca="1" si="7"/>
        <v>2.7027259879395262</v>
      </c>
    </row>
    <row r="70" spans="7:30" x14ac:dyDescent="0.2">
      <c r="G70" s="8">
        <v>5</v>
      </c>
      <c r="H70" s="42">
        <f>K31</f>
        <v>2.8500000000000001E-2</v>
      </c>
      <c r="I70" s="38">
        <f>M29</f>
        <v>4.0279266836314297E-2</v>
      </c>
      <c r="J70" s="38">
        <f>O32</f>
        <v>3.7444799910795884E-2</v>
      </c>
      <c r="K70" s="38">
        <f>Q35</f>
        <v>3.6997252501503507E-2</v>
      </c>
      <c r="M70" s="8">
        <v>5</v>
      </c>
      <c r="N70" s="8">
        <f t="shared" ref="N70:N132" ca="1" si="9">RANDBETWEEN(1,8)</f>
        <v>5</v>
      </c>
      <c r="O70" s="127">
        <f t="shared" ca="1" si="1"/>
        <v>2.8500000000000001E-2</v>
      </c>
      <c r="P70" s="127">
        <f t="shared" ca="1" si="2"/>
        <v>4.0279266836314297E-2</v>
      </c>
      <c r="Q70" s="127">
        <f t="shared" ca="1" si="3"/>
        <v>3.7444799910795884E-2</v>
      </c>
      <c r="R70" s="127">
        <f t="shared" ca="1" si="4"/>
        <v>3.6997252501503507E-2</v>
      </c>
      <c r="S70" s="8">
        <f t="shared" ca="1" si="8"/>
        <v>0.90090866264650871</v>
      </c>
      <c r="T70" s="42">
        <f t="shared" ca="1" si="5"/>
        <v>3.5805329812153425E-2</v>
      </c>
      <c r="U70" s="128">
        <f t="shared" ca="1" si="6"/>
        <v>4.3002747498496499</v>
      </c>
      <c r="V70" s="8">
        <f t="shared" ca="1" si="7"/>
        <v>3.8741547738995976</v>
      </c>
    </row>
    <row r="71" spans="7:30" x14ac:dyDescent="0.2">
      <c r="G71" s="8">
        <v>6</v>
      </c>
      <c r="H71" s="42">
        <f>K31</f>
        <v>2.8500000000000001E-2</v>
      </c>
      <c r="I71" s="38">
        <f>M35</f>
        <v>2.7E-2</v>
      </c>
      <c r="J71" s="38">
        <f>O32</f>
        <v>3.7444799910795884E-2</v>
      </c>
      <c r="K71" s="38">
        <f>Q35</f>
        <v>3.6997252501503507E-2</v>
      </c>
      <c r="M71" s="8">
        <v>6</v>
      </c>
      <c r="N71" s="8">
        <f t="shared" ca="1" si="9"/>
        <v>4</v>
      </c>
      <c r="O71" s="127">
        <f t="shared" ca="1" si="1"/>
        <v>2.8500000000000001E-2</v>
      </c>
      <c r="P71" s="127">
        <f t="shared" ca="1" si="2"/>
        <v>2.7E-2</v>
      </c>
      <c r="Q71" s="127">
        <f t="shared" ca="1" si="3"/>
        <v>3.7444799910795884E-2</v>
      </c>
      <c r="R71" s="127">
        <f t="shared" ca="1" si="4"/>
        <v>5.51934150266132E-2</v>
      </c>
      <c r="S71" s="8">
        <f t="shared" ca="1" si="8"/>
        <v>0.91255754923504817</v>
      </c>
      <c r="T71" s="42">
        <f t="shared" ca="1" si="5"/>
        <v>3.7034553734352271E-2</v>
      </c>
      <c r="U71" s="128">
        <f t="shared" ca="1" si="6"/>
        <v>3</v>
      </c>
      <c r="V71" s="8">
        <f t="shared" ca="1" si="7"/>
        <v>2.7376726477051445</v>
      </c>
    </row>
    <row r="72" spans="7:30" x14ac:dyDescent="0.2">
      <c r="G72" s="8">
        <v>7</v>
      </c>
      <c r="H72" s="42">
        <f>K31</f>
        <v>2.8500000000000001E-2</v>
      </c>
      <c r="I72" s="38">
        <f>M35</f>
        <v>2.7E-2</v>
      </c>
      <c r="J72" s="38">
        <f>O38</f>
        <v>2.5100000000000001E-2</v>
      </c>
      <c r="K72" s="38">
        <f>Q35</f>
        <v>3.6997252501503507E-2</v>
      </c>
      <c r="M72" s="8">
        <v>7</v>
      </c>
      <c r="N72" s="8">
        <f t="shared" ca="1" si="9"/>
        <v>1</v>
      </c>
      <c r="O72" s="127">
        <f t="shared" ca="1" si="1"/>
        <v>2.8500000000000001E-2</v>
      </c>
      <c r="P72" s="127">
        <f t="shared" ca="1" si="2"/>
        <v>4.0279266836314297E-2</v>
      </c>
      <c r="Q72" s="127">
        <f t="shared" ca="1" si="3"/>
        <v>5.5861077305160947E-2</v>
      </c>
      <c r="R72" s="127">
        <f t="shared" ca="1" si="4"/>
        <v>8.2338899683866387E-2</v>
      </c>
      <c r="S72" s="8">
        <f t="shared" ca="1" si="8"/>
        <v>0.88519505770841389</v>
      </c>
      <c r="T72" s="42">
        <f t="shared" ca="1" si="5"/>
        <v>5.1744810956335409E-2</v>
      </c>
      <c r="U72" s="128">
        <f t="shared" ca="1" si="6"/>
        <v>3.2338899683866384</v>
      </c>
      <c r="V72" s="8">
        <f t="shared" ca="1" si="7"/>
        <v>2.8626234171886713</v>
      </c>
    </row>
    <row r="73" spans="7:30" x14ac:dyDescent="0.2">
      <c r="G73" s="8">
        <v>8</v>
      </c>
      <c r="H73" s="42">
        <f>K31</f>
        <v>2.8500000000000001E-2</v>
      </c>
      <c r="I73" s="38">
        <f>M35</f>
        <v>2.7E-2</v>
      </c>
      <c r="J73" s="38">
        <f>O38</f>
        <v>2.5100000000000001E-2</v>
      </c>
      <c r="K73" s="38">
        <f>Q41</f>
        <v>2.4799999999999999E-2</v>
      </c>
      <c r="M73" s="8">
        <v>8</v>
      </c>
      <c r="N73" s="8">
        <f ca="1">RANDBETWEEN(1,8)</f>
        <v>5</v>
      </c>
      <c r="O73" s="127">
        <f t="shared" ca="1" si="1"/>
        <v>2.8500000000000001E-2</v>
      </c>
      <c r="P73" s="127">
        <f t="shared" ca="1" si="2"/>
        <v>4.0279266836314297E-2</v>
      </c>
      <c r="Q73" s="127">
        <f t="shared" ca="1" si="3"/>
        <v>3.7444799910795884E-2</v>
      </c>
      <c r="R73" s="127">
        <f t="shared" ca="1" si="4"/>
        <v>3.6997252501503507E-2</v>
      </c>
      <c r="S73" s="8">
        <f t="shared" ca="1" si="8"/>
        <v>0.90090866264650871</v>
      </c>
      <c r="T73" s="42">
        <f t="shared" ca="1" si="5"/>
        <v>3.5805329812153425E-2</v>
      </c>
      <c r="U73" s="128">
        <f t="shared" ca="1" si="6"/>
        <v>4.3002747498496499</v>
      </c>
      <c r="V73" s="8">
        <f t="shared" ca="1" si="7"/>
        <v>3.8741547738995976</v>
      </c>
    </row>
    <row r="74" spans="7:30" x14ac:dyDescent="0.2">
      <c r="M74" s="8">
        <v>9</v>
      </c>
      <c r="N74" s="8">
        <f t="shared" ca="1" si="9"/>
        <v>3</v>
      </c>
      <c r="O74" s="127">
        <f t="shared" ca="1" si="1"/>
        <v>2.8500000000000001E-2</v>
      </c>
      <c r="P74" s="127">
        <f t="shared" ca="1" si="2"/>
        <v>4.0279266836314297E-2</v>
      </c>
      <c r="Q74" s="127">
        <f t="shared" ca="1" si="3"/>
        <v>3.7444799910795884E-2</v>
      </c>
      <c r="R74" s="127">
        <f t="shared" ca="1" si="4"/>
        <v>5.51934150266132E-2</v>
      </c>
      <c r="S74" s="8">
        <f t="shared" ca="1" si="8"/>
        <v>0.90090866264650871</v>
      </c>
      <c r="T74" s="42">
        <f t="shared" ca="1" si="5"/>
        <v>4.0354370443430848E-2</v>
      </c>
      <c r="U74" s="128">
        <f t="shared" ca="1" si="6"/>
        <v>3</v>
      </c>
      <c r="V74" s="8">
        <f t="shared" ca="1" si="7"/>
        <v>2.7027259879395262</v>
      </c>
    </row>
    <row r="75" spans="7:30" x14ac:dyDescent="0.2">
      <c r="M75" s="8">
        <v>10</v>
      </c>
      <c r="N75" s="8">
        <f t="shared" ca="1" si="9"/>
        <v>2</v>
      </c>
      <c r="O75" s="127">
        <f t="shared" ca="1" si="1"/>
        <v>2.8500000000000001E-2</v>
      </c>
      <c r="P75" s="127">
        <f t="shared" ca="1" si="2"/>
        <v>4.0279266836314297E-2</v>
      </c>
      <c r="Q75" s="127">
        <f t="shared" ca="1" si="3"/>
        <v>5.5861077305160947E-2</v>
      </c>
      <c r="R75" s="127">
        <f t="shared" ca="1" si="4"/>
        <v>5.51934150266132E-2</v>
      </c>
      <c r="S75" s="8">
        <f t="shared" ca="1" si="8"/>
        <v>0.88519505770841389</v>
      </c>
      <c r="T75" s="42">
        <f t="shared" ca="1" si="5"/>
        <v>4.495843979202211E-2</v>
      </c>
      <c r="U75" s="128">
        <f t="shared" ca="1" si="6"/>
        <v>3</v>
      </c>
      <c r="V75" s="8">
        <f ca="1">S75*U75</f>
        <v>2.6555851731252416</v>
      </c>
    </row>
    <row r="76" spans="7:30" x14ac:dyDescent="0.2">
      <c r="M76" s="8">
        <v>11</v>
      </c>
      <c r="N76" s="8">
        <f t="shared" ca="1" si="9"/>
        <v>2</v>
      </c>
      <c r="O76" s="127">
        <f t="shared" ca="1" si="1"/>
        <v>2.8500000000000001E-2</v>
      </c>
      <c r="P76" s="127">
        <f t="shared" ca="1" si="2"/>
        <v>4.0279266836314297E-2</v>
      </c>
      <c r="Q76" s="127">
        <f t="shared" ca="1" si="3"/>
        <v>5.5861077305160947E-2</v>
      </c>
      <c r="R76" s="127">
        <f t="shared" ca="1" si="4"/>
        <v>5.51934150266132E-2</v>
      </c>
      <c r="S76" s="8">
        <f t="shared" ca="1" si="8"/>
        <v>0.88519505770841389</v>
      </c>
      <c r="T76" s="42">
        <f t="shared" ca="1" si="5"/>
        <v>4.495843979202211E-2</v>
      </c>
      <c r="U76" s="128">
        <f t="shared" ca="1" si="6"/>
        <v>3</v>
      </c>
      <c r="V76" s="8">
        <f t="shared" ca="1" si="7"/>
        <v>2.6555851731252416</v>
      </c>
    </row>
    <row r="77" spans="7:30" x14ac:dyDescent="0.2">
      <c r="M77" s="8">
        <v>12</v>
      </c>
      <c r="N77" s="8">
        <f t="shared" ca="1" si="9"/>
        <v>8</v>
      </c>
      <c r="O77" s="127">
        <f t="shared" ca="1" si="1"/>
        <v>2.8500000000000001E-2</v>
      </c>
      <c r="P77" s="127">
        <f t="shared" ca="1" si="2"/>
        <v>2.7E-2</v>
      </c>
      <c r="Q77" s="127">
        <f t="shared" ca="1" si="3"/>
        <v>2.5100000000000001E-2</v>
      </c>
      <c r="R77" s="127">
        <f t="shared" ca="1" si="4"/>
        <v>2.4799999999999999E-2</v>
      </c>
      <c r="S77" s="8">
        <f t="shared" ca="1" si="8"/>
        <v>0.92354705304188955</v>
      </c>
      <c r="T77" s="42">
        <f t="shared" ca="1" si="5"/>
        <v>2.6350000000000002E-2</v>
      </c>
      <c r="U77" s="128">
        <f t="shared" ca="1" si="6"/>
        <v>5.52</v>
      </c>
      <c r="V77" s="8">
        <f t="shared" ca="1" si="7"/>
        <v>5.09797973279123</v>
      </c>
    </row>
    <row r="78" spans="7:30" x14ac:dyDescent="0.2">
      <c r="M78" s="8">
        <v>13</v>
      </c>
      <c r="N78" s="8">
        <f t="shared" ca="1" si="9"/>
        <v>1</v>
      </c>
      <c r="O78" s="127">
        <f t="shared" ca="1" si="1"/>
        <v>2.8500000000000001E-2</v>
      </c>
      <c r="P78" s="127">
        <f t="shared" ca="1" si="2"/>
        <v>4.0279266836314297E-2</v>
      </c>
      <c r="Q78" s="127">
        <f t="shared" ca="1" si="3"/>
        <v>5.5861077305160947E-2</v>
      </c>
      <c r="R78" s="127">
        <f t="shared" ca="1" si="4"/>
        <v>8.2338899683866387E-2</v>
      </c>
      <c r="S78" s="8">
        <f t="shared" ca="1" si="8"/>
        <v>0.88519505770841389</v>
      </c>
      <c r="T78" s="42">
        <f t="shared" ca="1" si="5"/>
        <v>5.1744810956335409E-2</v>
      </c>
      <c r="U78" s="128">
        <f t="shared" ca="1" si="6"/>
        <v>3.2338899683866384</v>
      </c>
      <c r="V78" s="8">
        <f t="shared" ca="1" si="7"/>
        <v>2.8626234171886713</v>
      </c>
    </row>
    <row r="79" spans="7:30" x14ac:dyDescent="0.2">
      <c r="M79" s="8">
        <v>14</v>
      </c>
      <c r="N79" s="8">
        <f t="shared" ca="1" si="9"/>
        <v>3</v>
      </c>
      <c r="O79" s="127">
        <f t="shared" ca="1" si="1"/>
        <v>2.8500000000000001E-2</v>
      </c>
      <c r="P79" s="127">
        <f t="shared" ca="1" si="2"/>
        <v>4.0279266836314297E-2</v>
      </c>
      <c r="Q79" s="127">
        <f t="shared" ca="1" si="3"/>
        <v>3.7444799910795884E-2</v>
      </c>
      <c r="R79" s="127">
        <f t="shared" ca="1" si="4"/>
        <v>5.51934150266132E-2</v>
      </c>
      <c r="S79" s="8">
        <f t="shared" ca="1" si="8"/>
        <v>0.90090866264650871</v>
      </c>
      <c r="T79" s="42">
        <f t="shared" ca="1" si="5"/>
        <v>4.0354370443430848E-2</v>
      </c>
      <c r="U79" s="128">
        <f t="shared" ca="1" si="6"/>
        <v>3</v>
      </c>
      <c r="V79" s="8">
        <f t="shared" ca="1" si="7"/>
        <v>2.7027259879395262</v>
      </c>
    </row>
    <row r="80" spans="7:30" x14ac:dyDescent="0.2">
      <c r="M80" s="8">
        <v>15</v>
      </c>
      <c r="N80" s="8">
        <f t="shared" ca="1" si="9"/>
        <v>5</v>
      </c>
      <c r="O80" s="127">
        <f t="shared" ca="1" si="1"/>
        <v>2.8500000000000001E-2</v>
      </c>
      <c r="P80" s="127">
        <f t="shared" ca="1" si="2"/>
        <v>4.0279266836314297E-2</v>
      </c>
      <c r="Q80" s="127">
        <f t="shared" ca="1" si="3"/>
        <v>3.7444799910795884E-2</v>
      </c>
      <c r="R80" s="127">
        <f t="shared" ca="1" si="4"/>
        <v>3.6997252501503507E-2</v>
      </c>
      <c r="S80" s="8">
        <f t="shared" ca="1" si="8"/>
        <v>0.90090866264650871</v>
      </c>
      <c r="T80" s="42">
        <f t="shared" ca="1" si="5"/>
        <v>3.5805329812153425E-2</v>
      </c>
      <c r="U80" s="128">
        <f t="shared" ca="1" si="6"/>
        <v>4.3002747498496499</v>
      </c>
      <c r="V80" s="8">
        <f t="shared" ca="1" si="7"/>
        <v>3.8741547738995976</v>
      </c>
    </row>
    <row r="81" spans="13:22" x14ac:dyDescent="0.2">
      <c r="M81" s="8">
        <v>16</v>
      </c>
      <c r="N81" s="8">
        <f t="shared" ca="1" si="9"/>
        <v>1</v>
      </c>
      <c r="O81" s="127">
        <f t="shared" ca="1" si="1"/>
        <v>2.8500000000000001E-2</v>
      </c>
      <c r="P81" s="127">
        <f t="shared" ca="1" si="2"/>
        <v>4.0279266836314297E-2</v>
      </c>
      <c r="Q81" s="127">
        <f t="shared" ca="1" si="3"/>
        <v>5.5861077305160947E-2</v>
      </c>
      <c r="R81" s="127">
        <f t="shared" ca="1" si="4"/>
        <v>8.2338899683866387E-2</v>
      </c>
      <c r="S81" s="8">
        <f t="shared" ca="1" si="8"/>
        <v>0.88519505770841389</v>
      </c>
      <c r="T81" s="42">
        <f t="shared" ca="1" si="5"/>
        <v>5.1744810956335409E-2</v>
      </c>
      <c r="U81" s="128">
        <f t="shared" ca="1" si="6"/>
        <v>3.2338899683866384</v>
      </c>
      <c r="V81" s="8">
        <f t="shared" ca="1" si="7"/>
        <v>2.8626234171886713</v>
      </c>
    </row>
    <row r="82" spans="13:22" x14ac:dyDescent="0.2">
      <c r="M82" s="8">
        <v>17</v>
      </c>
      <c r="N82" s="8">
        <f t="shared" ca="1" si="9"/>
        <v>3</v>
      </c>
      <c r="O82" s="127">
        <f t="shared" ca="1" si="1"/>
        <v>2.8500000000000001E-2</v>
      </c>
      <c r="P82" s="127">
        <f t="shared" ca="1" si="2"/>
        <v>4.0279266836314297E-2</v>
      </c>
      <c r="Q82" s="127">
        <f t="shared" ca="1" si="3"/>
        <v>3.7444799910795884E-2</v>
      </c>
      <c r="R82" s="127">
        <f t="shared" ca="1" si="4"/>
        <v>5.51934150266132E-2</v>
      </c>
      <c r="S82" s="8">
        <f t="shared" ca="1" si="8"/>
        <v>0.90090866264650871</v>
      </c>
      <c r="T82" s="42">
        <f t="shared" ca="1" si="5"/>
        <v>4.0354370443430848E-2</v>
      </c>
      <c r="U82" s="128">
        <f t="shared" ca="1" si="6"/>
        <v>3</v>
      </c>
      <c r="V82" s="8">
        <f t="shared" ca="1" si="7"/>
        <v>2.7027259879395262</v>
      </c>
    </row>
    <row r="83" spans="13:22" x14ac:dyDescent="0.2">
      <c r="M83" s="8">
        <v>18</v>
      </c>
      <c r="N83" s="8">
        <f t="shared" ca="1" si="9"/>
        <v>8</v>
      </c>
      <c r="O83" s="127">
        <f t="shared" ca="1" si="1"/>
        <v>2.8500000000000001E-2</v>
      </c>
      <c r="P83" s="127">
        <f t="shared" ca="1" si="2"/>
        <v>2.7E-2</v>
      </c>
      <c r="Q83" s="127">
        <f t="shared" ca="1" si="3"/>
        <v>2.5100000000000001E-2</v>
      </c>
      <c r="R83" s="127">
        <f t="shared" ca="1" si="4"/>
        <v>2.4799999999999999E-2</v>
      </c>
      <c r="S83" s="8">
        <f t="shared" ca="1" si="8"/>
        <v>0.92354705304188955</v>
      </c>
      <c r="T83" s="42">
        <f t="shared" ca="1" si="5"/>
        <v>2.6350000000000002E-2</v>
      </c>
      <c r="U83" s="128">
        <f t="shared" ca="1" si="6"/>
        <v>5.52</v>
      </c>
      <c r="V83" s="8">
        <f t="shared" ca="1" si="7"/>
        <v>5.09797973279123</v>
      </c>
    </row>
    <row r="84" spans="13:22" x14ac:dyDescent="0.2">
      <c r="M84" s="8">
        <v>19</v>
      </c>
      <c r="N84" s="8">
        <f t="shared" ca="1" si="9"/>
        <v>4</v>
      </c>
      <c r="O84" s="127">
        <f t="shared" ca="1" si="1"/>
        <v>2.8500000000000001E-2</v>
      </c>
      <c r="P84" s="127">
        <f t="shared" ca="1" si="2"/>
        <v>2.7E-2</v>
      </c>
      <c r="Q84" s="127">
        <f t="shared" ca="1" si="3"/>
        <v>3.7444799910795884E-2</v>
      </c>
      <c r="R84" s="127">
        <f t="shared" ca="1" si="4"/>
        <v>5.51934150266132E-2</v>
      </c>
      <c r="S84" s="8">
        <f t="shared" ca="1" si="8"/>
        <v>0.91255754923504817</v>
      </c>
      <c r="T84" s="42">
        <f t="shared" ca="1" si="5"/>
        <v>3.7034553734352271E-2</v>
      </c>
      <c r="U84" s="128">
        <f t="shared" ca="1" si="6"/>
        <v>3</v>
      </c>
      <c r="V84" s="8">
        <f t="shared" ca="1" si="7"/>
        <v>2.7376726477051445</v>
      </c>
    </row>
    <row r="85" spans="13:22" x14ac:dyDescent="0.2">
      <c r="M85" s="8">
        <v>20</v>
      </c>
      <c r="N85" s="8">
        <f t="shared" ca="1" si="9"/>
        <v>4</v>
      </c>
      <c r="O85" s="127">
        <f t="shared" ca="1" si="1"/>
        <v>2.8500000000000001E-2</v>
      </c>
      <c r="P85" s="127">
        <f t="shared" ca="1" si="2"/>
        <v>2.7E-2</v>
      </c>
      <c r="Q85" s="127">
        <f t="shared" ca="1" si="3"/>
        <v>3.7444799910795884E-2</v>
      </c>
      <c r="R85" s="127">
        <f t="shared" ca="1" si="4"/>
        <v>5.51934150266132E-2</v>
      </c>
      <c r="S85" s="8">
        <f t="shared" ca="1" si="8"/>
        <v>0.91255754923504817</v>
      </c>
      <c r="T85" s="42">
        <f t="shared" ca="1" si="5"/>
        <v>3.7034553734352271E-2</v>
      </c>
      <c r="U85" s="128">
        <f t="shared" ca="1" si="6"/>
        <v>3</v>
      </c>
      <c r="V85" s="8">
        <f t="shared" ca="1" si="7"/>
        <v>2.7376726477051445</v>
      </c>
    </row>
    <row r="86" spans="13:22" x14ac:dyDescent="0.2">
      <c r="M86" s="8">
        <v>21</v>
      </c>
      <c r="N86" s="8">
        <f t="shared" ca="1" si="9"/>
        <v>3</v>
      </c>
      <c r="O86" s="127">
        <f t="shared" ca="1" si="1"/>
        <v>2.8500000000000001E-2</v>
      </c>
      <c r="P86" s="127">
        <f t="shared" ca="1" si="2"/>
        <v>4.0279266836314297E-2</v>
      </c>
      <c r="Q86" s="127">
        <f t="shared" ca="1" si="3"/>
        <v>3.7444799910795884E-2</v>
      </c>
      <c r="R86" s="127">
        <f t="shared" ca="1" si="4"/>
        <v>5.51934150266132E-2</v>
      </c>
      <c r="S86" s="8">
        <f t="shared" ca="1" si="8"/>
        <v>0.90090866264650871</v>
      </c>
      <c r="T86" s="42">
        <f t="shared" ca="1" si="5"/>
        <v>4.0354370443430848E-2</v>
      </c>
      <c r="U86" s="128">
        <f t="shared" ca="1" si="6"/>
        <v>3</v>
      </c>
      <c r="V86" s="8">
        <f t="shared" ca="1" si="7"/>
        <v>2.7027259879395262</v>
      </c>
    </row>
    <row r="87" spans="13:22" x14ac:dyDescent="0.2">
      <c r="M87" s="8">
        <v>22</v>
      </c>
      <c r="N87" s="8">
        <f t="shared" ca="1" si="9"/>
        <v>4</v>
      </c>
      <c r="O87" s="127">
        <f t="shared" ca="1" si="1"/>
        <v>2.8500000000000001E-2</v>
      </c>
      <c r="P87" s="127">
        <f t="shared" ca="1" si="2"/>
        <v>2.7E-2</v>
      </c>
      <c r="Q87" s="127">
        <f t="shared" ca="1" si="3"/>
        <v>3.7444799910795884E-2</v>
      </c>
      <c r="R87" s="127">
        <f t="shared" ca="1" si="4"/>
        <v>5.51934150266132E-2</v>
      </c>
      <c r="S87" s="8">
        <f t="shared" ca="1" si="8"/>
        <v>0.91255754923504817</v>
      </c>
      <c r="T87" s="42">
        <f t="shared" ca="1" si="5"/>
        <v>3.7034553734352271E-2</v>
      </c>
      <c r="U87" s="128">
        <f t="shared" ca="1" si="6"/>
        <v>3</v>
      </c>
      <c r="V87" s="8">
        <f t="shared" ca="1" si="7"/>
        <v>2.7376726477051445</v>
      </c>
    </row>
    <row r="88" spans="13:22" x14ac:dyDescent="0.2">
      <c r="M88" s="8">
        <v>23</v>
      </c>
      <c r="N88" s="8">
        <f t="shared" ca="1" si="9"/>
        <v>5</v>
      </c>
      <c r="O88" s="127">
        <f t="shared" ca="1" si="1"/>
        <v>2.8500000000000001E-2</v>
      </c>
      <c r="P88" s="127">
        <f t="shared" ca="1" si="2"/>
        <v>4.0279266836314297E-2</v>
      </c>
      <c r="Q88" s="127">
        <f t="shared" ca="1" si="3"/>
        <v>3.7444799910795884E-2</v>
      </c>
      <c r="R88" s="127">
        <f t="shared" ca="1" si="4"/>
        <v>3.6997252501503507E-2</v>
      </c>
      <c r="S88" s="8">
        <f t="shared" ca="1" si="8"/>
        <v>0.90090866264650871</v>
      </c>
      <c r="T88" s="42">
        <f t="shared" ca="1" si="5"/>
        <v>3.5805329812153425E-2</v>
      </c>
      <c r="U88" s="128">
        <f t="shared" ca="1" si="6"/>
        <v>4.3002747498496499</v>
      </c>
      <c r="V88" s="8">
        <f t="shared" ca="1" si="7"/>
        <v>3.8741547738995976</v>
      </c>
    </row>
    <row r="89" spans="13:22" x14ac:dyDescent="0.2">
      <c r="M89" s="8">
        <v>24</v>
      </c>
      <c r="N89" s="8">
        <f t="shared" ca="1" si="9"/>
        <v>7</v>
      </c>
      <c r="O89" s="127">
        <f t="shared" ca="1" si="1"/>
        <v>2.8500000000000001E-2</v>
      </c>
      <c r="P89" s="127">
        <f t="shared" ca="1" si="2"/>
        <v>2.7E-2</v>
      </c>
      <c r="Q89" s="127">
        <f t="shared" ca="1" si="3"/>
        <v>2.5100000000000001E-2</v>
      </c>
      <c r="R89" s="127">
        <f t="shared" ca="1" si="4"/>
        <v>3.6997252501503507E-2</v>
      </c>
      <c r="S89" s="8">
        <f t="shared" ca="1" si="8"/>
        <v>0.92354705304188955</v>
      </c>
      <c r="T89" s="42">
        <f t="shared" ca="1" si="5"/>
        <v>2.939931312537588E-2</v>
      </c>
      <c r="U89" s="128">
        <f t="shared" ca="1" si="6"/>
        <v>4.3002747498496499</v>
      </c>
      <c r="V89" s="8">
        <f t="shared" ca="1" si="7"/>
        <v>3.9715060724940927</v>
      </c>
    </row>
    <row r="90" spans="13:22" x14ac:dyDescent="0.2">
      <c r="M90" s="8">
        <v>25</v>
      </c>
      <c r="N90" s="8">
        <f t="shared" ca="1" si="9"/>
        <v>7</v>
      </c>
      <c r="O90" s="127">
        <f t="shared" ca="1" si="1"/>
        <v>2.8500000000000001E-2</v>
      </c>
      <c r="P90" s="127">
        <f t="shared" ca="1" si="2"/>
        <v>2.7E-2</v>
      </c>
      <c r="Q90" s="127">
        <f t="shared" ca="1" si="3"/>
        <v>2.5100000000000001E-2</v>
      </c>
      <c r="R90" s="127">
        <f t="shared" ca="1" si="4"/>
        <v>3.6997252501503507E-2</v>
      </c>
      <c r="S90" s="8">
        <f t="shared" ca="1" si="8"/>
        <v>0.92354705304188955</v>
      </c>
      <c r="T90" s="42">
        <f t="shared" ca="1" si="5"/>
        <v>2.939931312537588E-2</v>
      </c>
      <c r="U90" s="128">
        <f t="shared" ca="1" si="6"/>
        <v>4.3002747498496499</v>
      </c>
      <c r="V90" s="8">
        <f t="shared" ca="1" si="7"/>
        <v>3.9715060724940927</v>
      </c>
    </row>
    <row r="91" spans="13:22" x14ac:dyDescent="0.2">
      <c r="M91" s="8">
        <v>26</v>
      </c>
      <c r="N91" s="8">
        <f t="shared" ca="1" si="9"/>
        <v>4</v>
      </c>
      <c r="O91" s="127">
        <f t="shared" ca="1" si="1"/>
        <v>2.8500000000000001E-2</v>
      </c>
      <c r="P91" s="127">
        <f t="shared" ca="1" si="2"/>
        <v>2.7E-2</v>
      </c>
      <c r="Q91" s="127">
        <f t="shared" ca="1" si="3"/>
        <v>3.7444799910795884E-2</v>
      </c>
      <c r="R91" s="127">
        <f t="shared" ca="1" si="4"/>
        <v>5.51934150266132E-2</v>
      </c>
      <c r="S91" s="8">
        <f t="shared" ca="1" si="8"/>
        <v>0.91255754923504817</v>
      </c>
      <c r="T91" s="42">
        <f t="shared" ca="1" si="5"/>
        <v>3.7034553734352271E-2</v>
      </c>
      <c r="U91" s="128">
        <f t="shared" ca="1" si="6"/>
        <v>3</v>
      </c>
      <c r="V91" s="8">
        <f t="shared" ca="1" si="7"/>
        <v>2.7376726477051445</v>
      </c>
    </row>
    <row r="92" spans="13:22" x14ac:dyDescent="0.2">
      <c r="M92" s="8">
        <v>27</v>
      </c>
      <c r="N92" s="8">
        <f t="shared" ca="1" si="9"/>
        <v>3</v>
      </c>
      <c r="O92" s="127">
        <f t="shared" ca="1" si="1"/>
        <v>2.8500000000000001E-2</v>
      </c>
      <c r="P92" s="127">
        <f t="shared" ca="1" si="2"/>
        <v>4.0279266836314297E-2</v>
      </c>
      <c r="Q92" s="127">
        <f t="shared" ca="1" si="3"/>
        <v>3.7444799910795884E-2</v>
      </c>
      <c r="R92" s="127">
        <f t="shared" ca="1" si="4"/>
        <v>5.51934150266132E-2</v>
      </c>
      <c r="S92" s="8">
        <f t="shared" ca="1" si="8"/>
        <v>0.90090866264650871</v>
      </c>
      <c r="T92" s="42">
        <f t="shared" ca="1" si="5"/>
        <v>4.0354370443430848E-2</v>
      </c>
      <c r="U92" s="128">
        <f t="shared" ca="1" si="6"/>
        <v>3</v>
      </c>
      <c r="V92" s="8">
        <f t="shared" ca="1" si="7"/>
        <v>2.7027259879395262</v>
      </c>
    </row>
    <row r="93" spans="13:22" x14ac:dyDescent="0.2">
      <c r="M93" s="8">
        <v>28</v>
      </c>
      <c r="N93" s="8">
        <f t="shared" ca="1" si="9"/>
        <v>5</v>
      </c>
      <c r="O93" s="127">
        <f t="shared" ca="1" si="1"/>
        <v>2.8500000000000001E-2</v>
      </c>
      <c r="P93" s="127">
        <f t="shared" ca="1" si="2"/>
        <v>4.0279266836314297E-2</v>
      </c>
      <c r="Q93" s="127">
        <f t="shared" ca="1" si="3"/>
        <v>3.7444799910795884E-2</v>
      </c>
      <c r="R93" s="127">
        <f t="shared" ca="1" si="4"/>
        <v>3.6997252501503507E-2</v>
      </c>
      <c r="S93" s="8">
        <f t="shared" ca="1" si="8"/>
        <v>0.90090866264650871</v>
      </c>
      <c r="T93" s="42">
        <f t="shared" ca="1" si="5"/>
        <v>3.5805329812153425E-2</v>
      </c>
      <c r="U93" s="128">
        <f t="shared" ca="1" si="6"/>
        <v>4.3002747498496499</v>
      </c>
      <c r="V93" s="8">
        <f t="shared" ca="1" si="7"/>
        <v>3.8741547738995976</v>
      </c>
    </row>
    <row r="94" spans="13:22" x14ac:dyDescent="0.2">
      <c r="M94" s="8">
        <v>29</v>
      </c>
      <c r="N94" s="8">
        <f t="shared" ca="1" si="9"/>
        <v>1</v>
      </c>
      <c r="O94" s="127">
        <f t="shared" ca="1" si="1"/>
        <v>2.8500000000000001E-2</v>
      </c>
      <c r="P94" s="127">
        <f t="shared" ca="1" si="2"/>
        <v>4.0279266836314297E-2</v>
      </c>
      <c r="Q94" s="127">
        <f t="shared" ca="1" si="3"/>
        <v>5.5861077305160947E-2</v>
      </c>
      <c r="R94" s="127">
        <f t="shared" ca="1" si="4"/>
        <v>8.2338899683866387E-2</v>
      </c>
      <c r="S94" s="8">
        <f t="shared" ca="1" si="8"/>
        <v>0.88519505770841389</v>
      </c>
      <c r="T94" s="42">
        <f t="shared" ca="1" si="5"/>
        <v>5.1744810956335409E-2</v>
      </c>
      <c r="U94" s="128">
        <f t="shared" ca="1" si="6"/>
        <v>3.2338899683866384</v>
      </c>
      <c r="V94" s="8">
        <f t="shared" ca="1" si="7"/>
        <v>2.8626234171886713</v>
      </c>
    </row>
    <row r="95" spans="13:22" x14ac:dyDescent="0.2">
      <c r="M95" s="8">
        <v>30</v>
      </c>
      <c r="N95" s="8">
        <f t="shared" ca="1" si="9"/>
        <v>7</v>
      </c>
      <c r="O95" s="127">
        <f t="shared" ca="1" si="1"/>
        <v>2.8500000000000001E-2</v>
      </c>
      <c r="P95" s="127">
        <f t="shared" ca="1" si="2"/>
        <v>2.7E-2</v>
      </c>
      <c r="Q95" s="127">
        <f t="shared" ca="1" si="3"/>
        <v>2.5100000000000001E-2</v>
      </c>
      <c r="R95" s="127">
        <f t="shared" ca="1" si="4"/>
        <v>3.6997252501503507E-2</v>
      </c>
      <c r="S95" s="8">
        <f t="shared" ca="1" si="8"/>
        <v>0.92354705304188955</v>
      </c>
      <c r="T95" s="42">
        <f t="shared" ca="1" si="5"/>
        <v>2.939931312537588E-2</v>
      </c>
      <c r="U95" s="128">
        <f t="shared" ca="1" si="6"/>
        <v>4.3002747498496499</v>
      </c>
      <c r="V95" s="8">
        <f t="shared" ca="1" si="7"/>
        <v>3.9715060724940927</v>
      </c>
    </row>
    <row r="96" spans="13:22" x14ac:dyDescent="0.2">
      <c r="M96" s="8">
        <v>31</v>
      </c>
      <c r="N96" s="8">
        <f t="shared" ca="1" si="9"/>
        <v>8</v>
      </c>
      <c r="O96" s="127">
        <f t="shared" ca="1" si="1"/>
        <v>2.8500000000000001E-2</v>
      </c>
      <c r="P96" s="127">
        <f t="shared" ca="1" si="2"/>
        <v>2.7E-2</v>
      </c>
      <c r="Q96" s="127">
        <f t="shared" ca="1" si="3"/>
        <v>2.5100000000000001E-2</v>
      </c>
      <c r="R96" s="127">
        <f t="shared" ca="1" si="4"/>
        <v>2.4799999999999999E-2</v>
      </c>
      <c r="S96" s="8">
        <f t="shared" ca="1" si="8"/>
        <v>0.92354705304188955</v>
      </c>
      <c r="T96" s="42">
        <f t="shared" ca="1" si="5"/>
        <v>2.6350000000000002E-2</v>
      </c>
      <c r="U96" s="128">
        <f t="shared" ca="1" si="6"/>
        <v>5.52</v>
      </c>
      <c r="V96" s="8">
        <f t="shared" ca="1" si="7"/>
        <v>5.09797973279123</v>
      </c>
    </row>
    <row r="97" spans="13:22" x14ac:dyDescent="0.2">
      <c r="M97" s="8">
        <v>32</v>
      </c>
      <c r="N97" s="8">
        <f t="shared" ca="1" si="9"/>
        <v>2</v>
      </c>
      <c r="O97" s="127">
        <f t="shared" ca="1" si="1"/>
        <v>2.8500000000000001E-2</v>
      </c>
      <c r="P97" s="127">
        <f t="shared" ca="1" si="2"/>
        <v>4.0279266836314297E-2</v>
      </c>
      <c r="Q97" s="127">
        <f t="shared" ca="1" si="3"/>
        <v>5.5861077305160947E-2</v>
      </c>
      <c r="R97" s="127">
        <f t="shared" ca="1" si="4"/>
        <v>5.51934150266132E-2</v>
      </c>
      <c r="S97" s="8">
        <f t="shared" ca="1" si="8"/>
        <v>0.88519505770841389</v>
      </c>
      <c r="T97" s="42">
        <f t="shared" ca="1" si="5"/>
        <v>4.495843979202211E-2</v>
      </c>
      <c r="U97" s="128">
        <f t="shared" ca="1" si="6"/>
        <v>3</v>
      </c>
      <c r="V97" s="8">
        <f t="shared" ca="1" si="7"/>
        <v>2.6555851731252416</v>
      </c>
    </row>
    <row r="98" spans="13:22" x14ac:dyDescent="0.2">
      <c r="M98" s="8">
        <v>33</v>
      </c>
      <c r="N98" s="8">
        <f t="shared" ca="1" si="9"/>
        <v>7</v>
      </c>
      <c r="O98" s="127">
        <f t="shared" ca="1" si="1"/>
        <v>2.8500000000000001E-2</v>
      </c>
      <c r="P98" s="127">
        <f t="shared" ca="1" si="2"/>
        <v>2.7E-2</v>
      </c>
      <c r="Q98" s="127">
        <f t="shared" ca="1" si="3"/>
        <v>2.5100000000000001E-2</v>
      </c>
      <c r="R98" s="127">
        <f t="shared" ca="1" si="4"/>
        <v>3.6997252501503507E-2</v>
      </c>
      <c r="S98" s="8">
        <f t="shared" ca="1" si="8"/>
        <v>0.92354705304188955</v>
      </c>
      <c r="T98" s="42">
        <f t="shared" ca="1" si="5"/>
        <v>2.939931312537588E-2</v>
      </c>
      <c r="U98" s="128">
        <f t="shared" ca="1" si="6"/>
        <v>4.3002747498496499</v>
      </c>
      <c r="V98" s="8">
        <f t="shared" ca="1" si="7"/>
        <v>3.9715060724940927</v>
      </c>
    </row>
    <row r="99" spans="13:22" x14ac:dyDescent="0.2">
      <c r="M99" s="8">
        <v>34</v>
      </c>
      <c r="N99" s="8">
        <f t="shared" ca="1" si="9"/>
        <v>2</v>
      </c>
      <c r="O99" s="127">
        <f t="shared" ca="1" si="1"/>
        <v>2.8500000000000001E-2</v>
      </c>
      <c r="P99" s="127">
        <f t="shared" ca="1" si="2"/>
        <v>4.0279266836314297E-2</v>
      </c>
      <c r="Q99" s="127">
        <f t="shared" ca="1" si="3"/>
        <v>5.5861077305160947E-2</v>
      </c>
      <c r="R99" s="127">
        <f t="shared" ca="1" si="4"/>
        <v>5.51934150266132E-2</v>
      </c>
      <c r="S99" s="8">
        <f t="shared" ca="1" si="8"/>
        <v>0.88519505770841389</v>
      </c>
      <c r="T99" s="42">
        <f t="shared" ca="1" si="5"/>
        <v>4.495843979202211E-2</v>
      </c>
      <c r="U99" s="128">
        <f t="shared" ca="1" si="6"/>
        <v>3</v>
      </c>
      <c r="V99" s="8">
        <f t="shared" ca="1" si="7"/>
        <v>2.6555851731252416</v>
      </c>
    </row>
    <row r="100" spans="13:22" x14ac:dyDescent="0.2">
      <c r="M100" s="8">
        <v>35</v>
      </c>
      <c r="N100" s="8">
        <f t="shared" ca="1" si="9"/>
        <v>3</v>
      </c>
      <c r="O100" s="127">
        <f t="shared" ca="1" si="1"/>
        <v>2.8500000000000001E-2</v>
      </c>
      <c r="P100" s="127">
        <f t="shared" ca="1" si="2"/>
        <v>4.0279266836314297E-2</v>
      </c>
      <c r="Q100" s="127">
        <f t="shared" ca="1" si="3"/>
        <v>3.7444799910795884E-2</v>
      </c>
      <c r="R100" s="127">
        <f t="shared" ca="1" si="4"/>
        <v>5.51934150266132E-2</v>
      </c>
      <c r="S100" s="8">
        <f t="shared" ca="1" si="8"/>
        <v>0.90090866264650871</v>
      </c>
      <c r="T100" s="42">
        <f t="shared" ca="1" si="5"/>
        <v>4.0354370443430848E-2</v>
      </c>
      <c r="U100" s="128">
        <f t="shared" ca="1" si="6"/>
        <v>3</v>
      </c>
      <c r="V100" s="8">
        <f t="shared" ca="1" si="7"/>
        <v>2.7027259879395262</v>
      </c>
    </row>
    <row r="101" spans="13:22" x14ac:dyDescent="0.2">
      <c r="M101" s="8">
        <v>36</v>
      </c>
      <c r="N101" s="8">
        <f t="shared" ca="1" si="9"/>
        <v>1</v>
      </c>
      <c r="O101" s="127">
        <f t="shared" ca="1" si="1"/>
        <v>2.8500000000000001E-2</v>
      </c>
      <c r="P101" s="127">
        <f t="shared" ca="1" si="2"/>
        <v>4.0279266836314297E-2</v>
      </c>
      <c r="Q101" s="127">
        <f t="shared" ca="1" si="3"/>
        <v>5.5861077305160947E-2</v>
      </c>
      <c r="R101" s="127">
        <f t="shared" ca="1" si="4"/>
        <v>8.2338899683866387E-2</v>
      </c>
      <c r="S101" s="8">
        <f t="shared" ca="1" si="8"/>
        <v>0.88519505770841389</v>
      </c>
      <c r="T101" s="42">
        <f t="shared" ca="1" si="5"/>
        <v>5.1744810956335409E-2</v>
      </c>
      <c r="U101" s="128">
        <f t="shared" ca="1" si="6"/>
        <v>3.2338899683866384</v>
      </c>
      <c r="V101" s="8">
        <f t="shared" ca="1" si="7"/>
        <v>2.8626234171886713</v>
      </c>
    </row>
    <row r="102" spans="13:22" x14ac:dyDescent="0.2">
      <c r="M102" s="8">
        <v>37</v>
      </c>
      <c r="N102" s="8">
        <f t="shared" ca="1" si="9"/>
        <v>5</v>
      </c>
      <c r="O102" s="127">
        <f t="shared" ca="1" si="1"/>
        <v>2.8500000000000001E-2</v>
      </c>
      <c r="P102" s="127">
        <f t="shared" ca="1" si="2"/>
        <v>4.0279266836314297E-2</v>
      </c>
      <c r="Q102" s="127">
        <f t="shared" ca="1" si="3"/>
        <v>3.7444799910795884E-2</v>
      </c>
      <c r="R102" s="127">
        <f t="shared" ca="1" si="4"/>
        <v>3.6997252501503507E-2</v>
      </c>
      <c r="S102" s="8">
        <f t="shared" ca="1" si="8"/>
        <v>0.90090866264650871</v>
      </c>
      <c r="T102" s="42">
        <f t="shared" ca="1" si="5"/>
        <v>3.5805329812153425E-2</v>
      </c>
      <c r="U102" s="128">
        <f t="shared" ca="1" si="6"/>
        <v>4.3002747498496499</v>
      </c>
      <c r="V102" s="8">
        <f t="shared" ca="1" si="7"/>
        <v>3.8741547738995976</v>
      </c>
    </row>
    <row r="103" spans="13:22" x14ac:dyDescent="0.2">
      <c r="M103" s="8">
        <v>38</v>
      </c>
      <c r="N103" s="8">
        <f t="shared" ca="1" si="9"/>
        <v>7</v>
      </c>
      <c r="O103" s="127">
        <f t="shared" ca="1" si="1"/>
        <v>2.8500000000000001E-2</v>
      </c>
      <c r="P103" s="127">
        <f t="shared" ca="1" si="2"/>
        <v>2.7E-2</v>
      </c>
      <c r="Q103" s="127">
        <f t="shared" ca="1" si="3"/>
        <v>2.5100000000000001E-2</v>
      </c>
      <c r="R103" s="127">
        <f t="shared" ca="1" si="4"/>
        <v>3.6997252501503507E-2</v>
      </c>
      <c r="S103" s="8">
        <f t="shared" ca="1" si="8"/>
        <v>0.92354705304188955</v>
      </c>
      <c r="T103" s="42">
        <f t="shared" ca="1" si="5"/>
        <v>2.939931312537588E-2</v>
      </c>
      <c r="U103" s="128">
        <f t="shared" ca="1" si="6"/>
        <v>4.3002747498496499</v>
      </c>
      <c r="V103" s="8">
        <f t="shared" ca="1" si="7"/>
        <v>3.9715060724940927</v>
      </c>
    </row>
    <row r="104" spans="13:22" x14ac:dyDescent="0.2">
      <c r="M104" s="8">
        <v>39</v>
      </c>
      <c r="N104" s="8">
        <f t="shared" ca="1" si="9"/>
        <v>6</v>
      </c>
      <c r="O104" s="127">
        <f t="shared" ca="1" si="1"/>
        <v>2.8500000000000001E-2</v>
      </c>
      <c r="P104" s="127">
        <f t="shared" ca="1" si="2"/>
        <v>2.7E-2</v>
      </c>
      <c r="Q104" s="127">
        <f t="shared" ca="1" si="3"/>
        <v>3.7444799910795884E-2</v>
      </c>
      <c r="R104" s="127">
        <f t="shared" ca="1" si="4"/>
        <v>3.6997252501503507E-2</v>
      </c>
      <c r="S104" s="8">
        <f t="shared" ca="1" si="8"/>
        <v>0.91255754923504817</v>
      </c>
      <c r="T104" s="42">
        <f t="shared" ca="1" si="5"/>
        <v>3.2485513103074848E-2</v>
      </c>
      <c r="U104" s="128">
        <f t="shared" ca="1" si="6"/>
        <v>4.3002747498496499</v>
      </c>
      <c r="V104" s="8">
        <f t="shared" ca="1" si="7"/>
        <v>3.9242481867601562</v>
      </c>
    </row>
    <row r="105" spans="13:22" x14ac:dyDescent="0.2">
      <c r="M105" s="8">
        <v>40</v>
      </c>
      <c r="N105" s="8">
        <f t="shared" ca="1" si="9"/>
        <v>1</v>
      </c>
      <c r="O105" s="127">
        <f t="shared" ca="1" si="1"/>
        <v>2.8500000000000001E-2</v>
      </c>
      <c r="P105" s="127">
        <f t="shared" ca="1" si="2"/>
        <v>4.0279266836314297E-2</v>
      </c>
      <c r="Q105" s="127">
        <f t="shared" ca="1" si="3"/>
        <v>5.5861077305160947E-2</v>
      </c>
      <c r="R105" s="127">
        <f t="shared" ca="1" si="4"/>
        <v>8.2338899683866387E-2</v>
      </c>
      <c r="S105" s="8">
        <f t="shared" ca="1" si="8"/>
        <v>0.88519505770841389</v>
      </c>
      <c r="T105" s="42">
        <f t="shared" ca="1" si="5"/>
        <v>5.1744810956335409E-2</v>
      </c>
      <c r="U105" s="128">
        <f t="shared" ca="1" si="6"/>
        <v>3.2338899683866384</v>
      </c>
      <c r="V105" s="8">
        <f t="shared" ca="1" si="7"/>
        <v>2.8626234171886713</v>
      </c>
    </row>
    <row r="106" spans="13:22" x14ac:dyDescent="0.2">
      <c r="M106" s="8">
        <v>41</v>
      </c>
      <c r="N106" s="8">
        <f t="shared" ca="1" si="9"/>
        <v>7</v>
      </c>
      <c r="O106" s="127">
        <f t="shared" ca="1" si="1"/>
        <v>2.8500000000000001E-2</v>
      </c>
      <c r="P106" s="127">
        <f t="shared" ca="1" si="2"/>
        <v>2.7E-2</v>
      </c>
      <c r="Q106" s="127">
        <f t="shared" ca="1" si="3"/>
        <v>2.5100000000000001E-2</v>
      </c>
      <c r="R106" s="127">
        <f t="shared" ca="1" si="4"/>
        <v>3.6997252501503507E-2</v>
      </c>
      <c r="S106" s="8">
        <f t="shared" ca="1" si="8"/>
        <v>0.92354705304188955</v>
      </c>
      <c r="T106" s="42">
        <f t="shared" ca="1" si="5"/>
        <v>2.939931312537588E-2</v>
      </c>
      <c r="U106" s="128">
        <f t="shared" ca="1" si="6"/>
        <v>4.3002747498496499</v>
      </c>
      <c r="V106" s="8">
        <f t="shared" ca="1" si="7"/>
        <v>3.9715060724940927</v>
      </c>
    </row>
    <row r="107" spans="13:22" x14ac:dyDescent="0.2">
      <c r="M107" s="8">
        <v>42</v>
      </c>
      <c r="N107" s="8">
        <f t="shared" ca="1" si="9"/>
        <v>6</v>
      </c>
      <c r="O107" s="127">
        <f t="shared" ca="1" si="1"/>
        <v>2.8500000000000001E-2</v>
      </c>
      <c r="P107" s="127">
        <f t="shared" ca="1" si="2"/>
        <v>2.7E-2</v>
      </c>
      <c r="Q107" s="127">
        <f t="shared" ca="1" si="3"/>
        <v>3.7444799910795884E-2</v>
      </c>
      <c r="R107" s="127">
        <f t="shared" ca="1" si="4"/>
        <v>3.6997252501503507E-2</v>
      </c>
      <c r="S107" s="8">
        <f t="shared" ca="1" si="8"/>
        <v>0.91255754923504817</v>
      </c>
      <c r="T107" s="42">
        <f t="shared" ca="1" si="5"/>
        <v>3.2485513103074848E-2</v>
      </c>
      <c r="U107" s="128">
        <f t="shared" ca="1" si="6"/>
        <v>4.3002747498496499</v>
      </c>
      <c r="V107" s="8">
        <f t="shared" ca="1" si="7"/>
        <v>3.9242481867601562</v>
      </c>
    </row>
    <row r="108" spans="13:22" x14ac:dyDescent="0.2">
      <c r="M108" s="8">
        <v>43</v>
      </c>
      <c r="N108" s="8">
        <f t="shared" ca="1" si="9"/>
        <v>5</v>
      </c>
      <c r="O108" s="127">
        <f t="shared" ca="1" si="1"/>
        <v>2.8500000000000001E-2</v>
      </c>
      <c r="P108" s="127">
        <f t="shared" ca="1" si="2"/>
        <v>4.0279266836314297E-2</v>
      </c>
      <c r="Q108" s="127">
        <f t="shared" ca="1" si="3"/>
        <v>3.7444799910795884E-2</v>
      </c>
      <c r="R108" s="127">
        <f t="shared" ca="1" si="4"/>
        <v>3.6997252501503507E-2</v>
      </c>
      <c r="S108" s="8">
        <f t="shared" ca="1" si="8"/>
        <v>0.90090866264650871</v>
      </c>
      <c r="T108" s="42">
        <f t="shared" ca="1" si="5"/>
        <v>3.5805329812153425E-2</v>
      </c>
      <c r="U108" s="128">
        <f t="shared" ca="1" si="6"/>
        <v>4.3002747498496499</v>
      </c>
      <c r="V108" s="8">
        <f t="shared" ca="1" si="7"/>
        <v>3.8741547738995976</v>
      </c>
    </row>
    <row r="109" spans="13:22" x14ac:dyDescent="0.2">
      <c r="M109" s="8">
        <v>44</v>
      </c>
      <c r="N109" s="8">
        <f t="shared" ca="1" si="9"/>
        <v>1</v>
      </c>
      <c r="O109" s="127">
        <f t="shared" ca="1" si="1"/>
        <v>2.8500000000000001E-2</v>
      </c>
      <c r="P109" s="127">
        <f t="shared" ca="1" si="2"/>
        <v>4.0279266836314297E-2</v>
      </c>
      <c r="Q109" s="127">
        <f t="shared" ca="1" si="3"/>
        <v>5.5861077305160947E-2</v>
      </c>
      <c r="R109" s="127">
        <f t="shared" ca="1" si="4"/>
        <v>8.2338899683866387E-2</v>
      </c>
      <c r="S109" s="8">
        <f t="shared" ca="1" si="8"/>
        <v>0.88519505770841389</v>
      </c>
      <c r="T109" s="42">
        <f t="shared" ca="1" si="5"/>
        <v>5.1744810956335409E-2</v>
      </c>
      <c r="U109" s="128">
        <f t="shared" ca="1" si="6"/>
        <v>3.2338899683866384</v>
      </c>
      <c r="V109" s="8">
        <f t="shared" ca="1" si="7"/>
        <v>2.8626234171886713</v>
      </c>
    </row>
    <row r="110" spans="13:22" x14ac:dyDescent="0.2">
      <c r="M110" s="8">
        <v>45</v>
      </c>
      <c r="N110" s="8">
        <f t="shared" ca="1" si="9"/>
        <v>2</v>
      </c>
      <c r="O110" s="127">
        <f t="shared" ca="1" si="1"/>
        <v>2.8500000000000001E-2</v>
      </c>
      <c r="P110" s="127">
        <f t="shared" ca="1" si="2"/>
        <v>4.0279266836314297E-2</v>
      </c>
      <c r="Q110" s="127">
        <f t="shared" ca="1" si="3"/>
        <v>5.5861077305160947E-2</v>
      </c>
      <c r="R110" s="127">
        <f t="shared" ca="1" si="4"/>
        <v>5.51934150266132E-2</v>
      </c>
      <c r="S110" s="8">
        <f t="shared" ca="1" si="8"/>
        <v>0.88519505770841389</v>
      </c>
      <c r="T110" s="42">
        <f t="shared" ca="1" si="5"/>
        <v>4.495843979202211E-2</v>
      </c>
      <c r="U110" s="128">
        <f t="shared" ca="1" si="6"/>
        <v>3</v>
      </c>
      <c r="V110" s="8">
        <f t="shared" ca="1" si="7"/>
        <v>2.6555851731252416</v>
      </c>
    </row>
    <row r="111" spans="13:22" x14ac:dyDescent="0.2">
      <c r="M111" s="8">
        <v>46</v>
      </c>
      <c r="N111" s="8">
        <f t="shared" ca="1" si="9"/>
        <v>3</v>
      </c>
      <c r="O111" s="127">
        <f t="shared" ca="1" si="1"/>
        <v>2.8500000000000001E-2</v>
      </c>
      <c r="P111" s="127">
        <f t="shared" ca="1" si="2"/>
        <v>4.0279266836314297E-2</v>
      </c>
      <c r="Q111" s="127">
        <f t="shared" ca="1" si="3"/>
        <v>3.7444799910795884E-2</v>
      </c>
      <c r="R111" s="127">
        <f t="shared" ca="1" si="4"/>
        <v>5.51934150266132E-2</v>
      </c>
      <c r="S111" s="8">
        <f t="shared" ca="1" si="8"/>
        <v>0.90090866264650871</v>
      </c>
      <c r="T111" s="42">
        <f t="shared" ca="1" si="5"/>
        <v>4.0354370443430848E-2</v>
      </c>
      <c r="U111" s="128">
        <f t="shared" ca="1" si="6"/>
        <v>3</v>
      </c>
      <c r="V111" s="8">
        <f t="shared" ca="1" si="7"/>
        <v>2.7027259879395262</v>
      </c>
    </row>
    <row r="112" spans="13:22" x14ac:dyDescent="0.2">
      <c r="M112" s="8">
        <v>47</v>
      </c>
      <c r="N112" s="8">
        <f t="shared" ca="1" si="9"/>
        <v>7</v>
      </c>
      <c r="O112" s="127">
        <f t="shared" ca="1" si="1"/>
        <v>2.8500000000000001E-2</v>
      </c>
      <c r="P112" s="127">
        <f t="shared" ca="1" si="2"/>
        <v>2.7E-2</v>
      </c>
      <c r="Q112" s="127">
        <f t="shared" ca="1" si="3"/>
        <v>2.5100000000000001E-2</v>
      </c>
      <c r="R112" s="127">
        <f t="shared" ca="1" si="4"/>
        <v>3.6997252501503507E-2</v>
      </c>
      <c r="S112" s="8">
        <f t="shared" ca="1" si="8"/>
        <v>0.92354705304188955</v>
      </c>
      <c r="T112" s="42">
        <f t="shared" ca="1" si="5"/>
        <v>2.939931312537588E-2</v>
      </c>
      <c r="U112" s="128">
        <f t="shared" ca="1" si="6"/>
        <v>4.3002747498496499</v>
      </c>
      <c r="V112" s="8">
        <f t="shared" ca="1" si="7"/>
        <v>3.9715060724940927</v>
      </c>
    </row>
    <row r="113" spans="13:22" x14ac:dyDescent="0.2">
      <c r="M113" s="8">
        <v>48</v>
      </c>
      <c r="N113" s="8">
        <f t="shared" ca="1" si="9"/>
        <v>1</v>
      </c>
      <c r="O113" s="127">
        <f t="shared" ca="1" si="1"/>
        <v>2.8500000000000001E-2</v>
      </c>
      <c r="P113" s="127">
        <f t="shared" ca="1" si="2"/>
        <v>4.0279266836314297E-2</v>
      </c>
      <c r="Q113" s="127">
        <f t="shared" ca="1" si="3"/>
        <v>5.5861077305160947E-2</v>
      </c>
      <c r="R113" s="127">
        <f t="shared" ca="1" si="4"/>
        <v>8.2338899683866387E-2</v>
      </c>
      <c r="S113" s="8">
        <f t="shared" ca="1" si="8"/>
        <v>0.88519505770841389</v>
      </c>
      <c r="T113" s="42">
        <f t="shared" ca="1" si="5"/>
        <v>5.1744810956335409E-2</v>
      </c>
      <c r="U113" s="128">
        <f t="shared" ca="1" si="6"/>
        <v>3.2338899683866384</v>
      </c>
      <c r="V113" s="8">
        <f t="shared" ca="1" si="7"/>
        <v>2.8626234171886713</v>
      </c>
    </row>
    <row r="114" spans="13:22" x14ac:dyDescent="0.2">
      <c r="M114" s="8">
        <v>49</v>
      </c>
      <c r="N114" s="8">
        <f t="shared" ca="1" si="9"/>
        <v>8</v>
      </c>
      <c r="O114" s="127">
        <f t="shared" ca="1" si="1"/>
        <v>2.8500000000000001E-2</v>
      </c>
      <c r="P114" s="127">
        <f t="shared" ca="1" si="2"/>
        <v>2.7E-2</v>
      </c>
      <c r="Q114" s="127">
        <f t="shared" ca="1" si="3"/>
        <v>2.5100000000000001E-2</v>
      </c>
      <c r="R114" s="127">
        <f t="shared" ca="1" si="4"/>
        <v>2.4799999999999999E-2</v>
      </c>
      <c r="S114" s="8">
        <f t="shared" ca="1" si="8"/>
        <v>0.92354705304188955</v>
      </c>
      <c r="T114" s="42">
        <f t="shared" ca="1" si="5"/>
        <v>2.6350000000000002E-2</v>
      </c>
      <c r="U114" s="128">
        <f t="shared" ca="1" si="6"/>
        <v>5.52</v>
      </c>
      <c r="V114" s="8">
        <f t="shared" ca="1" si="7"/>
        <v>5.09797973279123</v>
      </c>
    </row>
    <row r="115" spans="13:22" x14ac:dyDescent="0.2">
      <c r="M115" s="8">
        <v>50</v>
      </c>
      <c r="N115" s="8">
        <f t="shared" ca="1" si="9"/>
        <v>4</v>
      </c>
      <c r="O115" s="127">
        <f t="shared" ca="1" si="1"/>
        <v>2.8500000000000001E-2</v>
      </c>
      <c r="P115" s="127">
        <f t="shared" ca="1" si="2"/>
        <v>2.7E-2</v>
      </c>
      <c r="Q115" s="127">
        <f t="shared" ca="1" si="3"/>
        <v>3.7444799910795884E-2</v>
      </c>
      <c r="R115" s="127">
        <f t="shared" ca="1" si="4"/>
        <v>5.51934150266132E-2</v>
      </c>
      <c r="S115" s="8">
        <f t="shared" ca="1" si="8"/>
        <v>0.91255754923504817</v>
      </c>
      <c r="T115" s="42">
        <f t="shared" ca="1" si="5"/>
        <v>3.7034553734352271E-2</v>
      </c>
      <c r="U115" s="128">
        <f t="shared" ca="1" si="6"/>
        <v>3</v>
      </c>
      <c r="V115" s="8">
        <f t="shared" ca="1" si="7"/>
        <v>2.7376726477051445</v>
      </c>
    </row>
    <row r="116" spans="13:22" x14ac:dyDescent="0.2">
      <c r="M116" s="8">
        <v>51</v>
      </c>
      <c r="N116" s="8">
        <f t="shared" ca="1" si="9"/>
        <v>4</v>
      </c>
      <c r="O116" s="127">
        <f t="shared" ca="1" si="1"/>
        <v>2.8500000000000001E-2</v>
      </c>
      <c r="P116" s="127">
        <f t="shared" ca="1" si="2"/>
        <v>2.7E-2</v>
      </c>
      <c r="Q116" s="127">
        <f t="shared" ca="1" si="3"/>
        <v>3.7444799910795884E-2</v>
      </c>
      <c r="R116" s="127">
        <f t="shared" ca="1" si="4"/>
        <v>5.51934150266132E-2</v>
      </c>
      <c r="S116" s="8">
        <f t="shared" ca="1" si="8"/>
        <v>0.91255754923504817</v>
      </c>
      <c r="T116" s="42">
        <f t="shared" ca="1" si="5"/>
        <v>3.7034553734352271E-2</v>
      </c>
      <c r="U116" s="128">
        <f t="shared" ca="1" si="6"/>
        <v>3</v>
      </c>
      <c r="V116" s="8">
        <f t="shared" ca="1" si="7"/>
        <v>2.7376726477051445</v>
      </c>
    </row>
    <row r="117" spans="13:22" x14ac:dyDescent="0.2">
      <c r="M117" s="8">
        <v>52</v>
      </c>
      <c r="N117" s="8">
        <f t="shared" ca="1" si="9"/>
        <v>5</v>
      </c>
      <c r="O117" s="127">
        <f t="shared" ca="1" si="1"/>
        <v>2.8500000000000001E-2</v>
      </c>
      <c r="P117" s="127">
        <f t="shared" ca="1" si="2"/>
        <v>4.0279266836314297E-2</v>
      </c>
      <c r="Q117" s="127">
        <f t="shared" ca="1" si="3"/>
        <v>3.7444799910795884E-2</v>
      </c>
      <c r="R117" s="127">
        <f t="shared" ca="1" si="4"/>
        <v>3.6997252501503507E-2</v>
      </c>
      <c r="S117" s="8">
        <f t="shared" ca="1" si="8"/>
        <v>0.90090866264650871</v>
      </c>
      <c r="T117" s="42">
        <f t="shared" ca="1" si="5"/>
        <v>3.5805329812153425E-2</v>
      </c>
      <c r="U117" s="128">
        <f t="shared" ca="1" si="6"/>
        <v>4.3002747498496499</v>
      </c>
      <c r="V117" s="8">
        <f t="shared" ca="1" si="7"/>
        <v>3.8741547738995976</v>
      </c>
    </row>
    <row r="118" spans="13:22" x14ac:dyDescent="0.2">
      <c r="M118" s="8">
        <v>53</v>
      </c>
      <c r="N118" s="8">
        <f t="shared" ca="1" si="9"/>
        <v>1</v>
      </c>
      <c r="O118" s="127">
        <f t="shared" ca="1" si="1"/>
        <v>2.8500000000000001E-2</v>
      </c>
      <c r="P118" s="127">
        <f t="shared" ca="1" si="2"/>
        <v>4.0279266836314297E-2</v>
      </c>
      <c r="Q118" s="127">
        <f t="shared" ca="1" si="3"/>
        <v>5.5861077305160947E-2</v>
      </c>
      <c r="R118" s="127">
        <f t="shared" ca="1" si="4"/>
        <v>8.2338899683866387E-2</v>
      </c>
      <c r="S118" s="8">
        <f t="shared" ca="1" si="8"/>
        <v>0.88519505770841389</v>
      </c>
      <c r="T118" s="42">
        <f t="shared" ca="1" si="5"/>
        <v>5.1744810956335409E-2</v>
      </c>
      <c r="U118" s="128">
        <f t="shared" ca="1" si="6"/>
        <v>3.2338899683866384</v>
      </c>
      <c r="V118" s="8">
        <f t="shared" ca="1" si="7"/>
        <v>2.8626234171886713</v>
      </c>
    </row>
    <row r="119" spans="13:22" x14ac:dyDescent="0.2">
      <c r="M119" s="8">
        <v>54</v>
      </c>
      <c r="N119" s="8">
        <f t="shared" ca="1" si="9"/>
        <v>6</v>
      </c>
      <c r="O119" s="127">
        <f t="shared" ca="1" si="1"/>
        <v>2.8500000000000001E-2</v>
      </c>
      <c r="P119" s="127">
        <f t="shared" ca="1" si="2"/>
        <v>2.7E-2</v>
      </c>
      <c r="Q119" s="127">
        <f t="shared" ca="1" si="3"/>
        <v>3.7444799910795884E-2</v>
      </c>
      <c r="R119" s="127">
        <f t="shared" ca="1" si="4"/>
        <v>3.6997252501503507E-2</v>
      </c>
      <c r="S119" s="8">
        <f t="shared" ca="1" si="8"/>
        <v>0.91255754923504817</v>
      </c>
      <c r="T119" s="42">
        <f t="shared" ca="1" si="5"/>
        <v>3.2485513103074848E-2</v>
      </c>
      <c r="U119" s="128">
        <f t="shared" ca="1" si="6"/>
        <v>4.3002747498496499</v>
      </c>
      <c r="V119" s="8">
        <f t="shared" ca="1" si="7"/>
        <v>3.9242481867601562</v>
      </c>
    </row>
    <row r="120" spans="13:22" x14ac:dyDescent="0.2">
      <c r="M120" s="8">
        <v>55</v>
      </c>
      <c r="N120" s="8">
        <f t="shared" ca="1" si="9"/>
        <v>4</v>
      </c>
      <c r="O120" s="127">
        <f t="shared" ca="1" si="1"/>
        <v>2.8500000000000001E-2</v>
      </c>
      <c r="P120" s="127">
        <f t="shared" ca="1" si="2"/>
        <v>2.7E-2</v>
      </c>
      <c r="Q120" s="127">
        <f t="shared" ca="1" si="3"/>
        <v>3.7444799910795884E-2</v>
      </c>
      <c r="R120" s="127">
        <f t="shared" ca="1" si="4"/>
        <v>5.51934150266132E-2</v>
      </c>
      <c r="S120" s="8">
        <f t="shared" ca="1" si="8"/>
        <v>0.91255754923504817</v>
      </c>
      <c r="T120" s="42">
        <f t="shared" ca="1" si="5"/>
        <v>3.7034553734352271E-2</v>
      </c>
      <c r="U120" s="128">
        <f t="shared" ca="1" si="6"/>
        <v>3</v>
      </c>
      <c r="V120" s="8">
        <f t="shared" ca="1" si="7"/>
        <v>2.7376726477051445</v>
      </c>
    </row>
    <row r="121" spans="13:22" x14ac:dyDescent="0.2">
      <c r="M121" s="8">
        <v>56</v>
      </c>
      <c r="N121" s="8">
        <f t="shared" ca="1" si="9"/>
        <v>2</v>
      </c>
      <c r="O121" s="127">
        <f t="shared" ca="1" si="1"/>
        <v>2.8500000000000001E-2</v>
      </c>
      <c r="P121" s="127">
        <f t="shared" ca="1" si="2"/>
        <v>4.0279266836314297E-2</v>
      </c>
      <c r="Q121" s="127">
        <f t="shared" ca="1" si="3"/>
        <v>5.5861077305160947E-2</v>
      </c>
      <c r="R121" s="127">
        <f t="shared" ca="1" si="4"/>
        <v>5.51934150266132E-2</v>
      </c>
      <c r="S121" s="8">
        <f t="shared" ca="1" si="8"/>
        <v>0.88519505770841389</v>
      </c>
      <c r="T121" s="42">
        <f t="shared" ca="1" si="5"/>
        <v>4.495843979202211E-2</v>
      </c>
      <c r="U121" s="128">
        <f t="shared" ca="1" si="6"/>
        <v>3</v>
      </c>
      <c r="V121" s="8">
        <f t="shared" ca="1" si="7"/>
        <v>2.6555851731252416</v>
      </c>
    </row>
    <row r="122" spans="13:22" x14ac:dyDescent="0.2">
      <c r="M122" s="8">
        <v>57</v>
      </c>
      <c r="N122" s="8">
        <f t="shared" ca="1" si="9"/>
        <v>2</v>
      </c>
      <c r="O122" s="127">
        <f t="shared" ca="1" si="1"/>
        <v>2.8500000000000001E-2</v>
      </c>
      <c r="P122" s="127">
        <f t="shared" ca="1" si="2"/>
        <v>4.0279266836314297E-2</v>
      </c>
      <c r="Q122" s="127">
        <f t="shared" ca="1" si="3"/>
        <v>5.5861077305160947E-2</v>
      </c>
      <c r="R122" s="127">
        <f t="shared" ca="1" si="4"/>
        <v>5.51934150266132E-2</v>
      </c>
      <c r="S122" s="8">
        <f t="shared" ca="1" si="8"/>
        <v>0.88519505770841389</v>
      </c>
      <c r="T122" s="42">
        <f t="shared" ca="1" si="5"/>
        <v>4.495843979202211E-2</v>
      </c>
      <c r="U122" s="128">
        <f t="shared" ca="1" si="6"/>
        <v>3</v>
      </c>
      <c r="V122" s="8">
        <f t="shared" ca="1" si="7"/>
        <v>2.6555851731252416</v>
      </c>
    </row>
    <row r="123" spans="13:22" x14ac:dyDescent="0.2">
      <c r="M123" s="8">
        <v>58</v>
      </c>
      <c r="N123" s="8">
        <f t="shared" ca="1" si="9"/>
        <v>3</v>
      </c>
      <c r="O123" s="127">
        <f t="shared" ca="1" si="1"/>
        <v>2.8500000000000001E-2</v>
      </c>
      <c r="P123" s="127">
        <f t="shared" ca="1" si="2"/>
        <v>4.0279266836314297E-2</v>
      </c>
      <c r="Q123" s="127">
        <f t="shared" ca="1" si="3"/>
        <v>3.7444799910795884E-2</v>
      </c>
      <c r="R123" s="127">
        <f t="shared" ca="1" si="4"/>
        <v>5.51934150266132E-2</v>
      </c>
      <c r="S123" s="8">
        <f t="shared" ca="1" si="8"/>
        <v>0.90090866264650871</v>
      </c>
      <c r="T123" s="42">
        <f t="shared" ca="1" si="5"/>
        <v>4.0354370443430848E-2</v>
      </c>
      <c r="U123" s="128">
        <f t="shared" ca="1" si="6"/>
        <v>3</v>
      </c>
      <c r="V123" s="8">
        <f t="shared" ca="1" si="7"/>
        <v>2.7027259879395262</v>
      </c>
    </row>
    <row r="124" spans="13:22" x14ac:dyDescent="0.2">
      <c r="M124" s="8">
        <v>59</v>
      </c>
      <c r="N124" s="8">
        <f t="shared" ca="1" si="9"/>
        <v>7</v>
      </c>
      <c r="O124" s="127">
        <f t="shared" ca="1" si="1"/>
        <v>2.8500000000000001E-2</v>
      </c>
      <c r="P124" s="127">
        <f t="shared" ca="1" si="2"/>
        <v>2.7E-2</v>
      </c>
      <c r="Q124" s="127">
        <f t="shared" ca="1" si="3"/>
        <v>2.5100000000000001E-2</v>
      </c>
      <c r="R124" s="127">
        <f t="shared" ca="1" si="4"/>
        <v>3.6997252501503507E-2</v>
      </c>
      <c r="S124" s="8">
        <f t="shared" ca="1" si="8"/>
        <v>0.92354705304188955</v>
      </c>
      <c r="T124" s="42">
        <f t="shared" ca="1" si="5"/>
        <v>2.939931312537588E-2</v>
      </c>
      <c r="U124" s="128">
        <f t="shared" ca="1" si="6"/>
        <v>4.3002747498496499</v>
      </c>
      <c r="V124" s="8">
        <f t="shared" ca="1" si="7"/>
        <v>3.9715060724940927</v>
      </c>
    </row>
    <row r="125" spans="13:22" x14ac:dyDescent="0.2">
      <c r="M125" s="8">
        <v>60</v>
      </c>
      <c r="N125" s="8">
        <f t="shared" ca="1" si="9"/>
        <v>8</v>
      </c>
      <c r="O125" s="127">
        <f t="shared" ca="1" si="1"/>
        <v>2.8500000000000001E-2</v>
      </c>
      <c r="P125" s="127">
        <f t="shared" ca="1" si="2"/>
        <v>2.7E-2</v>
      </c>
      <c r="Q125" s="127">
        <f t="shared" ca="1" si="3"/>
        <v>2.5100000000000001E-2</v>
      </c>
      <c r="R125" s="127">
        <f t="shared" ca="1" si="4"/>
        <v>2.4799999999999999E-2</v>
      </c>
      <c r="S125" s="8">
        <f t="shared" ca="1" si="8"/>
        <v>0.92354705304188955</v>
      </c>
      <c r="T125" s="42">
        <f t="shared" ca="1" si="5"/>
        <v>2.6350000000000002E-2</v>
      </c>
      <c r="U125" s="128">
        <f t="shared" ca="1" si="6"/>
        <v>5.52</v>
      </c>
      <c r="V125" s="8">
        <f t="shared" ca="1" si="7"/>
        <v>5.09797973279123</v>
      </c>
    </row>
    <row r="126" spans="13:22" x14ac:dyDescent="0.2">
      <c r="M126" s="8">
        <v>61</v>
      </c>
      <c r="N126" s="8">
        <f t="shared" ca="1" si="9"/>
        <v>4</v>
      </c>
      <c r="O126" s="127">
        <f t="shared" ca="1" si="1"/>
        <v>2.8500000000000001E-2</v>
      </c>
      <c r="P126" s="127">
        <f t="shared" ca="1" si="2"/>
        <v>2.7E-2</v>
      </c>
      <c r="Q126" s="127">
        <f t="shared" ca="1" si="3"/>
        <v>3.7444799910795884E-2</v>
      </c>
      <c r="R126" s="127">
        <f t="shared" ca="1" si="4"/>
        <v>5.51934150266132E-2</v>
      </c>
      <c r="S126" s="8">
        <f t="shared" ca="1" si="8"/>
        <v>0.91255754923504817</v>
      </c>
      <c r="T126" s="42">
        <f t="shared" ca="1" si="5"/>
        <v>3.7034553734352271E-2</v>
      </c>
      <c r="U126" s="128">
        <f t="shared" ca="1" si="6"/>
        <v>3</v>
      </c>
      <c r="V126" s="8">
        <f t="shared" ca="1" si="7"/>
        <v>2.7376726477051445</v>
      </c>
    </row>
    <row r="127" spans="13:22" x14ac:dyDescent="0.2">
      <c r="M127" s="8">
        <v>62</v>
      </c>
      <c r="N127" s="8">
        <f t="shared" ca="1" si="9"/>
        <v>5</v>
      </c>
      <c r="O127" s="127">
        <f t="shared" ca="1" si="1"/>
        <v>2.8500000000000001E-2</v>
      </c>
      <c r="P127" s="127">
        <f t="shared" ca="1" si="2"/>
        <v>4.0279266836314297E-2</v>
      </c>
      <c r="Q127" s="127">
        <f t="shared" ca="1" si="3"/>
        <v>3.7444799910795884E-2</v>
      </c>
      <c r="R127" s="127">
        <f t="shared" ca="1" si="4"/>
        <v>3.6997252501503507E-2</v>
      </c>
      <c r="S127" s="8">
        <f t="shared" ca="1" si="8"/>
        <v>0.90090866264650871</v>
      </c>
      <c r="T127" s="42">
        <f t="shared" ca="1" si="5"/>
        <v>3.5805329812153425E-2</v>
      </c>
      <c r="U127" s="128">
        <f t="shared" ca="1" si="6"/>
        <v>4.3002747498496499</v>
      </c>
      <c r="V127" s="8">
        <f t="shared" ca="1" si="7"/>
        <v>3.8741547738995976</v>
      </c>
    </row>
    <row r="128" spans="13:22" x14ac:dyDescent="0.2">
      <c r="M128" s="8">
        <v>63</v>
      </c>
      <c r="N128" s="8">
        <f t="shared" ca="1" si="9"/>
        <v>4</v>
      </c>
      <c r="O128" s="127">
        <f t="shared" ca="1" si="1"/>
        <v>2.8500000000000001E-2</v>
      </c>
      <c r="P128" s="127">
        <f t="shared" ca="1" si="2"/>
        <v>2.7E-2</v>
      </c>
      <c r="Q128" s="127">
        <f t="shared" ca="1" si="3"/>
        <v>3.7444799910795884E-2</v>
      </c>
      <c r="R128" s="127">
        <f t="shared" ca="1" si="4"/>
        <v>5.51934150266132E-2</v>
      </c>
      <c r="S128" s="8">
        <f t="shared" ca="1" si="8"/>
        <v>0.91255754923504817</v>
      </c>
      <c r="T128" s="42">
        <f t="shared" ca="1" si="5"/>
        <v>3.7034553734352271E-2</v>
      </c>
      <c r="U128" s="128">
        <f t="shared" ca="1" si="6"/>
        <v>3</v>
      </c>
      <c r="V128" s="8">
        <f t="shared" ca="1" si="7"/>
        <v>2.7376726477051445</v>
      </c>
    </row>
    <row r="129" spans="13:22" x14ac:dyDescent="0.2">
      <c r="M129" s="8">
        <v>64</v>
      </c>
      <c r="N129" s="8">
        <f t="shared" ca="1" si="9"/>
        <v>4</v>
      </c>
      <c r="O129" s="127">
        <f t="shared" ca="1" si="1"/>
        <v>2.8500000000000001E-2</v>
      </c>
      <c r="P129" s="127">
        <f t="shared" ca="1" si="2"/>
        <v>2.7E-2</v>
      </c>
      <c r="Q129" s="127">
        <f t="shared" ca="1" si="3"/>
        <v>3.7444799910795884E-2</v>
      </c>
      <c r="R129" s="127">
        <f t="shared" ca="1" si="4"/>
        <v>5.51934150266132E-2</v>
      </c>
      <c r="S129" s="8">
        <f t="shared" ca="1" si="8"/>
        <v>0.91255754923504817</v>
      </c>
      <c r="T129" s="42">
        <f t="shared" ca="1" si="5"/>
        <v>3.7034553734352271E-2</v>
      </c>
      <c r="U129" s="128">
        <f t="shared" ca="1" si="6"/>
        <v>3</v>
      </c>
      <c r="V129" s="8">
        <f t="shared" ca="1" si="7"/>
        <v>2.7376726477051445</v>
      </c>
    </row>
    <row r="130" spans="13:22" x14ac:dyDescent="0.2">
      <c r="M130" s="8">
        <v>65</v>
      </c>
      <c r="N130" s="8">
        <f t="shared" ca="1" si="9"/>
        <v>1</v>
      </c>
      <c r="O130" s="127">
        <f t="shared" ca="1" si="1"/>
        <v>2.8500000000000001E-2</v>
      </c>
      <c r="P130" s="127">
        <f t="shared" ca="1" si="2"/>
        <v>4.0279266836314297E-2</v>
      </c>
      <c r="Q130" s="127">
        <f t="shared" ca="1" si="3"/>
        <v>5.5861077305160947E-2</v>
      </c>
      <c r="R130" s="127">
        <f t="shared" ca="1" si="4"/>
        <v>8.2338899683866387E-2</v>
      </c>
      <c r="S130" s="8">
        <f t="shared" ca="1" si="8"/>
        <v>0.88519505770841389</v>
      </c>
      <c r="T130" s="42">
        <f t="shared" ca="1" si="5"/>
        <v>5.1744810956335409E-2</v>
      </c>
      <c r="U130" s="128">
        <f t="shared" ca="1" si="6"/>
        <v>3.2338899683866384</v>
      </c>
      <c r="V130" s="8">
        <f t="shared" ca="1" si="7"/>
        <v>2.8626234171886713</v>
      </c>
    </row>
    <row r="131" spans="13:22" x14ac:dyDescent="0.2">
      <c r="M131" s="8">
        <v>66</v>
      </c>
      <c r="N131" s="8">
        <f t="shared" ca="1" si="9"/>
        <v>4</v>
      </c>
      <c r="O131" s="127">
        <f t="shared" ref="O131:O165" ca="1" si="10">VLOOKUP(N131,$G$66:$K$73,2)</f>
        <v>2.8500000000000001E-2</v>
      </c>
      <c r="P131" s="127">
        <f t="shared" ref="P131:P165" ca="1" si="11">VLOOKUP(N131,$G$66:$K$73,3)</f>
        <v>2.7E-2</v>
      </c>
      <c r="Q131" s="127">
        <f t="shared" ref="Q131:Q165" ca="1" si="12">VLOOKUP(N131,$G$66:$K$73,4)</f>
        <v>3.7444799910795884E-2</v>
      </c>
      <c r="R131" s="127">
        <f t="shared" ref="R131:R165" ca="1" si="13">VLOOKUP(N131,$G$66:$K$73,5)</f>
        <v>5.51934150266132E-2</v>
      </c>
      <c r="S131" s="8">
        <f t="shared" ca="1" si="8"/>
        <v>0.91255754923504817</v>
      </c>
      <c r="T131" s="42">
        <f t="shared" ref="T131:T165" ca="1" si="14">AVERAGE(O131:R131)</f>
        <v>3.7034553734352271E-2</v>
      </c>
      <c r="U131" s="128">
        <f t="shared" ref="U131:U165" ca="1" si="15">100*(MAX(R131,8%)-MIN(R131,5%))</f>
        <v>3</v>
      </c>
      <c r="V131" s="8">
        <f t="shared" ref="V131:V165" ca="1" si="16">S131*U131</f>
        <v>2.7376726477051445</v>
      </c>
    </row>
    <row r="132" spans="13:22" x14ac:dyDescent="0.2">
      <c r="M132" s="8">
        <v>67</v>
      </c>
      <c r="N132" s="8">
        <f t="shared" ca="1" si="9"/>
        <v>4</v>
      </c>
      <c r="O132" s="127">
        <f t="shared" ca="1" si="10"/>
        <v>2.8500000000000001E-2</v>
      </c>
      <c r="P132" s="127">
        <f t="shared" ca="1" si="11"/>
        <v>2.7E-2</v>
      </c>
      <c r="Q132" s="127">
        <f t="shared" ca="1" si="12"/>
        <v>3.7444799910795884E-2</v>
      </c>
      <c r="R132" s="127">
        <f t="shared" ca="1" si="13"/>
        <v>5.51934150266132E-2</v>
      </c>
      <c r="S132" s="8">
        <f t="shared" ref="S132:S165" ca="1" si="17">1/((1+O132)*(1+P132)*(1+Q132))</f>
        <v>0.91255754923504817</v>
      </c>
      <c r="T132" s="42">
        <f t="shared" ca="1" si="14"/>
        <v>3.7034553734352271E-2</v>
      </c>
      <c r="U132" s="128">
        <f t="shared" ca="1" si="15"/>
        <v>3</v>
      </c>
      <c r="V132" s="8">
        <f t="shared" ca="1" si="16"/>
        <v>2.7376726477051445</v>
      </c>
    </row>
    <row r="133" spans="13:22" x14ac:dyDescent="0.2">
      <c r="M133" s="8">
        <v>68</v>
      </c>
      <c r="N133" s="8">
        <f t="shared" ref="N133:N165" ca="1" si="18">RANDBETWEEN(1,8)</f>
        <v>3</v>
      </c>
      <c r="O133" s="127">
        <f t="shared" ca="1" si="10"/>
        <v>2.8500000000000001E-2</v>
      </c>
      <c r="P133" s="127">
        <f t="shared" ca="1" si="11"/>
        <v>4.0279266836314297E-2</v>
      </c>
      <c r="Q133" s="127">
        <f t="shared" ca="1" si="12"/>
        <v>3.7444799910795884E-2</v>
      </c>
      <c r="R133" s="127">
        <f t="shared" ca="1" si="13"/>
        <v>5.51934150266132E-2</v>
      </c>
      <c r="S133" s="8">
        <f t="shared" ca="1" si="17"/>
        <v>0.90090866264650871</v>
      </c>
      <c r="T133" s="42">
        <f t="shared" ca="1" si="14"/>
        <v>4.0354370443430848E-2</v>
      </c>
      <c r="U133" s="128">
        <f t="shared" ca="1" si="15"/>
        <v>3</v>
      </c>
      <c r="V133" s="8">
        <f t="shared" ca="1" si="16"/>
        <v>2.7027259879395262</v>
      </c>
    </row>
    <row r="134" spans="13:22" x14ac:dyDescent="0.2">
      <c r="M134" s="8">
        <v>69</v>
      </c>
      <c r="N134" s="8">
        <f t="shared" ca="1" si="18"/>
        <v>8</v>
      </c>
      <c r="O134" s="127">
        <f t="shared" ca="1" si="10"/>
        <v>2.8500000000000001E-2</v>
      </c>
      <c r="P134" s="127">
        <f t="shared" ca="1" si="11"/>
        <v>2.7E-2</v>
      </c>
      <c r="Q134" s="127">
        <f t="shared" ca="1" si="12"/>
        <v>2.5100000000000001E-2</v>
      </c>
      <c r="R134" s="127">
        <f t="shared" ca="1" si="13"/>
        <v>2.4799999999999999E-2</v>
      </c>
      <c r="S134" s="8">
        <f t="shared" ca="1" si="17"/>
        <v>0.92354705304188955</v>
      </c>
      <c r="T134" s="42">
        <f t="shared" ca="1" si="14"/>
        <v>2.6350000000000002E-2</v>
      </c>
      <c r="U134" s="128">
        <f t="shared" ca="1" si="15"/>
        <v>5.52</v>
      </c>
      <c r="V134" s="8">
        <f t="shared" ca="1" si="16"/>
        <v>5.09797973279123</v>
      </c>
    </row>
    <row r="135" spans="13:22" x14ac:dyDescent="0.2">
      <c r="M135" s="8">
        <v>70</v>
      </c>
      <c r="N135" s="8">
        <f t="shared" ca="1" si="18"/>
        <v>5</v>
      </c>
      <c r="O135" s="127">
        <f t="shared" ca="1" si="10"/>
        <v>2.8500000000000001E-2</v>
      </c>
      <c r="P135" s="127">
        <f t="shared" ca="1" si="11"/>
        <v>4.0279266836314297E-2</v>
      </c>
      <c r="Q135" s="127">
        <f t="shared" ca="1" si="12"/>
        <v>3.7444799910795884E-2</v>
      </c>
      <c r="R135" s="127">
        <f t="shared" ca="1" si="13"/>
        <v>3.6997252501503507E-2</v>
      </c>
      <c r="S135" s="8">
        <f t="shared" ca="1" si="17"/>
        <v>0.90090866264650871</v>
      </c>
      <c r="T135" s="42">
        <f t="shared" ca="1" si="14"/>
        <v>3.5805329812153425E-2</v>
      </c>
      <c r="U135" s="128">
        <f t="shared" ca="1" si="15"/>
        <v>4.3002747498496499</v>
      </c>
      <c r="V135" s="8">
        <f t="shared" ca="1" si="16"/>
        <v>3.8741547738995976</v>
      </c>
    </row>
    <row r="136" spans="13:22" x14ac:dyDescent="0.2">
      <c r="M136" s="8">
        <v>71</v>
      </c>
      <c r="N136" s="8">
        <f t="shared" ca="1" si="18"/>
        <v>6</v>
      </c>
      <c r="O136" s="127">
        <f t="shared" ca="1" si="10"/>
        <v>2.8500000000000001E-2</v>
      </c>
      <c r="P136" s="127">
        <f t="shared" ca="1" si="11"/>
        <v>2.7E-2</v>
      </c>
      <c r="Q136" s="127">
        <f t="shared" ca="1" si="12"/>
        <v>3.7444799910795884E-2</v>
      </c>
      <c r="R136" s="127">
        <f t="shared" ca="1" si="13"/>
        <v>3.6997252501503507E-2</v>
      </c>
      <c r="S136" s="8">
        <f t="shared" ca="1" si="17"/>
        <v>0.91255754923504817</v>
      </c>
      <c r="T136" s="42">
        <f t="shared" ca="1" si="14"/>
        <v>3.2485513103074848E-2</v>
      </c>
      <c r="U136" s="128">
        <f t="shared" ca="1" si="15"/>
        <v>4.3002747498496499</v>
      </c>
      <c r="V136" s="8">
        <f t="shared" ca="1" si="16"/>
        <v>3.9242481867601562</v>
      </c>
    </row>
    <row r="137" spans="13:22" x14ac:dyDescent="0.2">
      <c r="M137" s="8">
        <v>72</v>
      </c>
      <c r="N137" s="8">
        <f t="shared" ca="1" si="18"/>
        <v>7</v>
      </c>
      <c r="O137" s="127">
        <f t="shared" ca="1" si="10"/>
        <v>2.8500000000000001E-2</v>
      </c>
      <c r="P137" s="127">
        <f t="shared" ca="1" si="11"/>
        <v>2.7E-2</v>
      </c>
      <c r="Q137" s="127">
        <f t="shared" ca="1" si="12"/>
        <v>2.5100000000000001E-2</v>
      </c>
      <c r="R137" s="127">
        <f t="shared" ca="1" si="13"/>
        <v>3.6997252501503507E-2</v>
      </c>
      <c r="S137" s="8">
        <f t="shared" ca="1" si="17"/>
        <v>0.92354705304188955</v>
      </c>
      <c r="T137" s="42">
        <f t="shared" ca="1" si="14"/>
        <v>2.939931312537588E-2</v>
      </c>
      <c r="U137" s="128">
        <f t="shared" ca="1" si="15"/>
        <v>4.3002747498496499</v>
      </c>
      <c r="V137" s="8">
        <f t="shared" ca="1" si="16"/>
        <v>3.9715060724940927</v>
      </c>
    </row>
    <row r="138" spans="13:22" x14ac:dyDescent="0.2">
      <c r="M138" s="8">
        <v>73</v>
      </c>
      <c r="N138" s="8">
        <f t="shared" ca="1" si="18"/>
        <v>4</v>
      </c>
      <c r="O138" s="127">
        <f t="shared" ca="1" si="10"/>
        <v>2.8500000000000001E-2</v>
      </c>
      <c r="P138" s="127">
        <f t="shared" ca="1" si="11"/>
        <v>2.7E-2</v>
      </c>
      <c r="Q138" s="127">
        <f t="shared" ca="1" si="12"/>
        <v>3.7444799910795884E-2</v>
      </c>
      <c r="R138" s="127">
        <f t="shared" ca="1" si="13"/>
        <v>5.51934150266132E-2</v>
      </c>
      <c r="S138" s="8">
        <f t="shared" ca="1" si="17"/>
        <v>0.91255754923504817</v>
      </c>
      <c r="T138" s="42">
        <f t="shared" ca="1" si="14"/>
        <v>3.7034553734352271E-2</v>
      </c>
      <c r="U138" s="128">
        <f t="shared" ca="1" si="15"/>
        <v>3</v>
      </c>
      <c r="V138" s="8">
        <f t="shared" ca="1" si="16"/>
        <v>2.7376726477051445</v>
      </c>
    </row>
    <row r="139" spans="13:22" x14ac:dyDescent="0.2">
      <c r="M139" s="8">
        <v>74</v>
      </c>
      <c r="N139" s="8">
        <f t="shared" ca="1" si="18"/>
        <v>8</v>
      </c>
      <c r="O139" s="127">
        <f t="shared" ca="1" si="10"/>
        <v>2.8500000000000001E-2</v>
      </c>
      <c r="P139" s="127">
        <f t="shared" ca="1" si="11"/>
        <v>2.7E-2</v>
      </c>
      <c r="Q139" s="127">
        <f t="shared" ca="1" si="12"/>
        <v>2.5100000000000001E-2</v>
      </c>
      <c r="R139" s="127">
        <f t="shared" ca="1" si="13"/>
        <v>2.4799999999999999E-2</v>
      </c>
      <c r="S139" s="8">
        <f t="shared" ca="1" si="17"/>
        <v>0.92354705304188955</v>
      </c>
      <c r="T139" s="42">
        <f t="shared" ca="1" si="14"/>
        <v>2.6350000000000002E-2</v>
      </c>
      <c r="U139" s="128">
        <f t="shared" ca="1" si="15"/>
        <v>5.52</v>
      </c>
      <c r="V139" s="8">
        <f t="shared" ca="1" si="16"/>
        <v>5.09797973279123</v>
      </c>
    </row>
    <row r="140" spans="13:22" x14ac:dyDescent="0.2">
      <c r="M140" s="8">
        <v>75</v>
      </c>
      <c r="N140" s="8">
        <f t="shared" ca="1" si="18"/>
        <v>7</v>
      </c>
      <c r="O140" s="127">
        <f t="shared" ca="1" si="10"/>
        <v>2.8500000000000001E-2</v>
      </c>
      <c r="P140" s="127">
        <f t="shared" ca="1" si="11"/>
        <v>2.7E-2</v>
      </c>
      <c r="Q140" s="127">
        <f t="shared" ca="1" si="12"/>
        <v>2.5100000000000001E-2</v>
      </c>
      <c r="R140" s="127">
        <f t="shared" ca="1" si="13"/>
        <v>3.6997252501503507E-2</v>
      </c>
      <c r="S140" s="8">
        <f t="shared" ca="1" si="17"/>
        <v>0.92354705304188955</v>
      </c>
      <c r="T140" s="42">
        <f t="shared" ca="1" si="14"/>
        <v>2.939931312537588E-2</v>
      </c>
      <c r="U140" s="128">
        <f t="shared" ca="1" si="15"/>
        <v>4.3002747498496499</v>
      </c>
      <c r="V140" s="8">
        <f t="shared" ca="1" si="16"/>
        <v>3.9715060724940927</v>
      </c>
    </row>
    <row r="141" spans="13:22" x14ac:dyDescent="0.2">
      <c r="M141" s="8">
        <v>76</v>
      </c>
      <c r="N141" s="8">
        <f t="shared" ca="1" si="18"/>
        <v>6</v>
      </c>
      <c r="O141" s="127">
        <f t="shared" ca="1" si="10"/>
        <v>2.8500000000000001E-2</v>
      </c>
      <c r="P141" s="127">
        <f t="shared" ca="1" si="11"/>
        <v>2.7E-2</v>
      </c>
      <c r="Q141" s="127">
        <f t="shared" ca="1" si="12"/>
        <v>3.7444799910795884E-2</v>
      </c>
      <c r="R141" s="127">
        <f t="shared" ca="1" si="13"/>
        <v>3.6997252501503507E-2</v>
      </c>
      <c r="S141" s="8">
        <f t="shared" ca="1" si="17"/>
        <v>0.91255754923504817</v>
      </c>
      <c r="T141" s="42">
        <f t="shared" ca="1" si="14"/>
        <v>3.2485513103074848E-2</v>
      </c>
      <c r="U141" s="128">
        <f t="shared" ca="1" si="15"/>
        <v>4.3002747498496499</v>
      </c>
      <c r="V141" s="8">
        <f t="shared" ca="1" si="16"/>
        <v>3.9242481867601562</v>
      </c>
    </row>
    <row r="142" spans="13:22" x14ac:dyDescent="0.2">
      <c r="M142" s="8">
        <v>77</v>
      </c>
      <c r="N142" s="8">
        <f t="shared" ca="1" si="18"/>
        <v>7</v>
      </c>
      <c r="O142" s="127">
        <f t="shared" ca="1" si="10"/>
        <v>2.8500000000000001E-2</v>
      </c>
      <c r="P142" s="127">
        <f t="shared" ca="1" si="11"/>
        <v>2.7E-2</v>
      </c>
      <c r="Q142" s="127">
        <f t="shared" ca="1" si="12"/>
        <v>2.5100000000000001E-2</v>
      </c>
      <c r="R142" s="127">
        <f t="shared" ca="1" si="13"/>
        <v>3.6997252501503507E-2</v>
      </c>
      <c r="S142" s="8">
        <f t="shared" ca="1" si="17"/>
        <v>0.92354705304188955</v>
      </c>
      <c r="T142" s="42">
        <f t="shared" ca="1" si="14"/>
        <v>2.939931312537588E-2</v>
      </c>
      <c r="U142" s="128">
        <f t="shared" ca="1" si="15"/>
        <v>4.3002747498496499</v>
      </c>
      <c r="V142" s="8">
        <f t="shared" ca="1" si="16"/>
        <v>3.9715060724940927</v>
      </c>
    </row>
    <row r="143" spans="13:22" x14ac:dyDescent="0.2">
      <c r="M143" s="8">
        <v>78</v>
      </c>
      <c r="N143" s="8">
        <f t="shared" ca="1" si="18"/>
        <v>7</v>
      </c>
      <c r="O143" s="127">
        <f t="shared" ca="1" si="10"/>
        <v>2.8500000000000001E-2</v>
      </c>
      <c r="P143" s="127">
        <f t="shared" ca="1" si="11"/>
        <v>2.7E-2</v>
      </c>
      <c r="Q143" s="127">
        <f t="shared" ca="1" si="12"/>
        <v>2.5100000000000001E-2</v>
      </c>
      <c r="R143" s="127">
        <f t="shared" ca="1" si="13"/>
        <v>3.6997252501503507E-2</v>
      </c>
      <c r="S143" s="8">
        <f t="shared" ca="1" si="17"/>
        <v>0.92354705304188955</v>
      </c>
      <c r="T143" s="42">
        <f t="shared" ca="1" si="14"/>
        <v>2.939931312537588E-2</v>
      </c>
      <c r="U143" s="128">
        <f t="shared" ca="1" si="15"/>
        <v>4.3002747498496499</v>
      </c>
      <c r="V143" s="8">
        <f t="shared" ca="1" si="16"/>
        <v>3.9715060724940927</v>
      </c>
    </row>
    <row r="144" spans="13:22" x14ac:dyDescent="0.2">
      <c r="M144" s="8">
        <v>79</v>
      </c>
      <c r="N144" s="8">
        <f t="shared" ca="1" si="18"/>
        <v>7</v>
      </c>
      <c r="O144" s="127">
        <f t="shared" ca="1" si="10"/>
        <v>2.8500000000000001E-2</v>
      </c>
      <c r="P144" s="127">
        <f t="shared" ca="1" si="11"/>
        <v>2.7E-2</v>
      </c>
      <c r="Q144" s="127">
        <f t="shared" ca="1" si="12"/>
        <v>2.5100000000000001E-2</v>
      </c>
      <c r="R144" s="127">
        <f t="shared" ca="1" si="13"/>
        <v>3.6997252501503507E-2</v>
      </c>
      <c r="S144" s="8">
        <f t="shared" ca="1" si="17"/>
        <v>0.92354705304188955</v>
      </c>
      <c r="T144" s="42">
        <f t="shared" ca="1" si="14"/>
        <v>2.939931312537588E-2</v>
      </c>
      <c r="U144" s="128">
        <f t="shared" ca="1" si="15"/>
        <v>4.3002747498496499</v>
      </c>
      <c r="V144" s="8">
        <f t="shared" ca="1" si="16"/>
        <v>3.9715060724940927</v>
      </c>
    </row>
    <row r="145" spans="13:22" x14ac:dyDescent="0.2">
      <c r="M145" s="8">
        <v>80</v>
      </c>
      <c r="N145" s="8">
        <f t="shared" ca="1" si="18"/>
        <v>5</v>
      </c>
      <c r="O145" s="127">
        <f t="shared" ca="1" si="10"/>
        <v>2.8500000000000001E-2</v>
      </c>
      <c r="P145" s="127">
        <f t="shared" ca="1" si="11"/>
        <v>4.0279266836314297E-2</v>
      </c>
      <c r="Q145" s="127">
        <f t="shared" ca="1" si="12"/>
        <v>3.7444799910795884E-2</v>
      </c>
      <c r="R145" s="127">
        <f t="shared" ca="1" si="13"/>
        <v>3.6997252501503507E-2</v>
      </c>
      <c r="S145" s="8">
        <f t="shared" ca="1" si="17"/>
        <v>0.90090866264650871</v>
      </c>
      <c r="T145" s="42">
        <f t="shared" ca="1" si="14"/>
        <v>3.5805329812153425E-2</v>
      </c>
      <c r="U145" s="128">
        <f t="shared" ca="1" si="15"/>
        <v>4.3002747498496499</v>
      </c>
      <c r="V145" s="8">
        <f t="shared" ca="1" si="16"/>
        <v>3.8741547738995976</v>
      </c>
    </row>
    <row r="146" spans="13:22" x14ac:dyDescent="0.2">
      <c r="M146" s="8">
        <v>81</v>
      </c>
      <c r="N146" s="8">
        <f t="shared" ca="1" si="18"/>
        <v>1</v>
      </c>
      <c r="O146" s="127">
        <f t="shared" ca="1" si="10"/>
        <v>2.8500000000000001E-2</v>
      </c>
      <c r="P146" s="127">
        <f t="shared" ca="1" si="11"/>
        <v>4.0279266836314297E-2</v>
      </c>
      <c r="Q146" s="127">
        <f t="shared" ca="1" si="12"/>
        <v>5.5861077305160947E-2</v>
      </c>
      <c r="R146" s="127">
        <f t="shared" ca="1" si="13"/>
        <v>8.2338899683866387E-2</v>
      </c>
      <c r="S146" s="8">
        <f t="shared" ca="1" si="17"/>
        <v>0.88519505770841389</v>
      </c>
      <c r="T146" s="42">
        <f t="shared" ca="1" si="14"/>
        <v>5.1744810956335409E-2</v>
      </c>
      <c r="U146" s="128">
        <f t="shared" ca="1" si="15"/>
        <v>3.2338899683866384</v>
      </c>
      <c r="V146" s="8">
        <f t="shared" ca="1" si="16"/>
        <v>2.8626234171886713</v>
      </c>
    </row>
    <row r="147" spans="13:22" x14ac:dyDescent="0.2">
      <c r="M147" s="8">
        <v>82</v>
      </c>
      <c r="N147" s="8">
        <f t="shared" ca="1" si="18"/>
        <v>6</v>
      </c>
      <c r="O147" s="127">
        <f t="shared" ca="1" si="10"/>
        <v>2.8500000000000001E-2</v>
      </c>
      <c r="P147" s="127">
        <f t="shared" ca="1" si="11"/>
        <v>2.7E-2</v>
      </c>
      <c r="Q147" s="127">
        <f t="shared" ca="1" si="12"/>
        <v>3.7444799910795884E-2</v>
      </c>
      <c r="R147" s="127">
        <f t="shared" ca="1" si="13"/>
        <v>3.6997252501503507E-2</v>
      </c>
      <c r="S147" s="8">
        <f t="shared" ca="1" si="17"/>
        <v>0.91255754923504817</v>
      </c>
      <c r="T147" s="42">
        <f t="shared" ca="1" si="14"/>
        <v>3.2485513103074848E-2</v>
      </c>
      <c r="U147" s="128">
        <f t="shared" ca="1" si="15"/>
        <v>4.3002747498496499</v>
      </c>
      <c r="V147" s="8">
        <f t="shared" ca="1" si="16"/>
        <v>3.9242481867601562</v>
      </c>
    </row>
    <row r="148" spans="13:22" x14ac:dyDescent="0.2">
      <c r="M148" s="8">
        <v>83</v>
      </c>
      <c r="N148" s="8">
        <f t="shared" ca="1" si="18"/>
        <v>3</v>
      </c>
      <c r="O148" s="127">
        <f t="shared" ca="1" si="10"/>
        <v>2.8500000000000001E-2</v>
      </c>
      <c r="P148" s="127">
        <f t="shared" ca="1" si="11"/>
        <v>4.0279266836314297E-2</v>
      </c>
      <c r="Q148" s="127">
        <f t="shared" ca="1" si="12"/>
        <v>3.7444799910795884E-2</v>
      </c>
      <c r="R148" s="127">
        <f t="shared" ca="1" si="13"/>
        <v>5.51934150266132E-2</v>
      </c>
      <c r="S148" s="8">
        <f t="shared" ca="1" si="17"/>
        <v>0.90090866264650871</v>
      </c>
      <c r="T148" s="42">
        <f t="shared" ca="1" si="14"/>
        <v>4.0354370443430848E-2</v>
      </c>
      <c r="U148" s="128">
        <f t="shared" ca="1" si="15"/>
        <v>3</v>
      </c>
      <c r="V148" s="8">
        <f t="shared" ca="1" si="16"/>
        <v>2.7027259879395262</v>
      </c>
    </row>
    <row r="149" spans="13:22" x14ac:dyDescent="0.2">
      <c r="M149" s="8">
        <v>84</v>
      </c>
      <c r="N149" s="8">
        <f t="shared" ca="1" si="18"/>
        <v>4</v>
      </c>
      <c r="O149" s="127">
        <f t="shared" ca="1" si="10"/>
        <v>2.8500000000000001E-2</v>
      </c>
      <c r="P149" s="127">
        <f t="shared" ca="1" si="11"/>
        <v>2.7E-2</v>
      </c>
      <c r="Q149" s="127">
        <f t="shared" ca="1" si="12"/>
        <v>3.7444799910795884E-2</v>
      </c>
      <c r="R149" s="127">
        <f t="shared" ca="1" si="13"/>
        <v>5.51934150266132E-2</v>
      </c>
      <c r="S149" s="8">
        <f t="shared" ca="1" si="17"/>
        <v>0.91255754923504817</v>
      </c>
      <c r="T149" s="42">
        <f t="shared" ca="1" si="14"/>
        <v>3.7034553734352271E-2</v>
      </c>
      <c r="U149" s="128">
        <f t="shared" ca="1" si="15"/>
        <v>3</v>
      </c>
      <c r="V149" s="8">
        <f t="shared" ca="1" si="16"/>
        <v>2.7376726477051445</v>
      </c>
    </row>
    <row r="150" spans="13:22" x14ac:dyDescent="0.2">
      <c r="M150" s="8">
        <v>85</v>
      </c>
      <c r="N150" s="8">
        <f t="shared" ca="1" si="18"/>
        <v>1</v>
      </c>
      <c r="O150" s="127">
        <f t="shared" ca="1" si="10"/>
        <v>2.8500000000000001E-2</v>
      </c>
      <c r="P150" s="127">
        <f t="shared" ca="1" si="11"/>
        <v>4.0279266836314297E-2</v>
      </c>
      <c r="Q150" s="127">
        <f t="shared" ca="1" si="12"/>
        <v>5.5861077305160947E-2</v>
      </c>
      <c r="R150" s="127">
        <f t="shared" ca="1" si="13"/>
        <v>8.2338899683866387E-2</v>
      </c>
      <c r="S150" s="8">
        <f t="shared" ca="1" si="17"/>
        <v>0.88519505770841389</v>
      </c>
      <c r="T150" s="42">
        <f t="shared" ca="1" si="14"/>
        <v>5.1744810956335409E-2</v>
      </c>
      <c r="U150" s="128">
        <f t="shared" ca="1" si="15"/>
        <v>3.2338899683866384</v>
      </c>
      <c r="V150" s="8">
        <f t="shared" ca="1" si="16"/>
        <v>2.8626234171886713</v>
      </c>
    </row>
    <row r="151" spans="13:22" x14ac:dyDescent="0.2">
      <c r="M151" s="8">
        <v>86</v>
      </c>
      <c r="N151" s="8">
        <f t="shared" ca="1" si="18"/>
        <v>4</v>
      </c>
      <c r="O151" s="127">
        <f t="shared" ca="1" si="10"/>
        <v>2.8500000000000001E-2</v>
      </c>
      <c r="P151" s="127">
        <f t="shared" ca="1" si="11"/>
        <v>2.7E-2</v>
      </c>
      <c r="Q151" s="127">
        <f t="shared" ca="1" si="12"/>
        <v>3.7444799910795884E-2</v>
      </c>
      <c r="R151" s="127">
        <f t="shared" ca="1" si="13"/>
        <v>5.51934150266132E-2</v>
      </c>
      <c r="S151" s="8">
        <f t="shared" ca="1" si="17"/>
        <v>0.91255754923504817</v>
      </c>
      <c r="T151" s="42">
        <f t="shared" ca="1" si="14"/>
        <v>3.7034553734352271E-2</v>
      </c>
      <c r="U151" s="128">
        <f t="shared" ca="1" si="15"/>
        <v>3</v>
      </c>
      <c r="V151" s="8">
        <f t="shared" ca="1" si="16"/>
        <v>2.7376726477051445</v>
      </c>
    </row>
    <row r="152" spans="13:22" x14ac:dyDescent="0.2">
      <c r="M152" s="8">
        <v>87</v>
      </c>
      <c r="N152" s="8">
        <f t="shared" ca="1" si="18"/>
        <v>3</v>
      </c>
      <c r="O152" s="127">
        <f t="shared" ca="1" si="10"/>
        <v>2.8500000000000001E-2</v>
      </c>
      <c r="P152" s="127">
        <f t="shared" ca="1" si="11"/>
        <v>4.0279266836314297E-2</v>
      </c>
      <c r="Q152" s="127">
        <f t="shared" ca="1" si="12"/>
        <v>3.7444799910795884E-2</v>
      </c>
      <c r="R152" s="127">
        <f t="shared" ca="1" si="13"/>
        <v>5.51934150266132E-2</v>
      </c>
      <c r="S152" s="8">
        <f t="shared" ca="1" si="17"/>
        <v>0.90090866264650871</v>
      </c>
      <c r="T152" s="42">
        <f t="shared" ca="1" si="14"/>
        <v>4.0354370443430848E-2</v>
      </c>
      <c r="U152" s="128">
        <f t="shared" ca="1" si="15"/>
        <v>3</v>
      </c>
      <c r="V152" s="8">
        <f t="shared" ca="1" si="16"/>
        <v>2.7027259879395262</v>
      </c>
    </row>
    <row r="153" spans="13:22" x14ac:dyDescent="0.2">
      <c r="M153" s="8">
        <v>88</v>
      </c>
      <c r="N153" s="8">
        <f t="shared" ca="1" si="18"/>
        <v>8</v>
      </c>
      <c r="O153" s="127">
        <f t="shared" ca="1" si="10"/>
        <v>2.8500000000000001E-2</v>
      </c>
      <c r="P153" s="127">
        <f t="shared" ca="1" si="11"/>
        <v>2.7E-2</v>
      </c>
      <c r="Q153" s="127">
        <f t="shared" ca="1" si="12"/>
        <v>2.5100000000000001E-2</v>
      </c>
      <c r="R153" s="127">
        <f t="shared" ca="1" si="13"/>
        <v>2.4799999999999999E-2</v>
      </c>
      <c r="S153" s="8">
        <f t="shared" ca="1" si="17"/>
        <v>0.92354705304188955</v>
      </c>
      <c r="T153" s="42">
        <f t="shared" ca="1" si="14"/>
        <v>2.6350000000000002E-2</v>
      </c>
      <c r="U153" s="128">
        <f t="shared" ca="1" si="15"/>
        <v>5.52</v>
      </c>
      <c r="V153" s="8">
        <f t="shared" ca="1" si="16"/>
        <v>5.09797973279123</v>
      </c>
    </row>
    <row r="154" spans="13:22" x14ac:dyDescent="0.2">
      <c r="M154" s="8">
        <v>89</v>
      </c>
      <c r="N154" s="8">
        <f t="shared" ca="1" si="18"/>
        <v>7</v>
      </c>
      <c r="O154" s="127">
        <f t="shared" ca="1" si="10"/>
        <v>2.8500000000000001E-2</v>
      </c>
      <c r="P154" s="127">
        <f t="shared" ca="1" si="11"/>
        <v>2.7E-2</v>
      </c>
      <c r="Q154" s="127">
        <f t="shared" ca="1" si="12"/>
        <v>2.5100000000000001E-2</v>
      </c>
      <c r="R154" s="127">
        <f t="shared" ca="1" si="13"/>
        <v>3.6997252501503507E-2</v>
      </c>
      <c r="S154" s="8">
        <f t="shared" ca="1" si="17"/>
        <v>0.92354705304188955</v>
      </c>
      <c r="T154" s="42">
        <f t="shared" ca="1" si="14"/>
        <v>2.939931312537588E-2</v>
      </c>
      <c r="U154" s="128">
        <f t="shared" ca="1" si="15"/>
        <v>4.3002747498496499</v>
      </c>
      <c r="V154" s="8">
        <f t="shared" ca="1" si="16"/>
        <v>3.9715060724940927</v>
      </c>
    </row>
    <row r="155" spans="13:22" x14ac:dyDescent="0.2">
      <c r="M155" s="8">
        <v>90</v>
      </c>
      <c r="N155" s="8">
        <f t="shared" ca="1" si="18"/>
        <v>1</v>
      </c>
      <c r="O155" s="127">
        <f t="shared" ca="1" si="10"/>
        <v>2.8500000000000001E-2</v>
      </c>
      <c r="P155" s="127">
        <f t="shared" ca="1" si="11"/>
        <v>4.0279266836314297E-2</v>
      </c>
      <c r="Q155" s="127">
        <f t="shared" ca="1" si="12"/>
        <v>5.5861077305160947E-2</v>
      </c>
      <c r="R155" s="127">
        <f t="shared" ca="1" si="13"/>
        <v>8.2338899683866387E-2</v>
      </c>
      <c r="S155" s="8">
        <f t="shared" ca="1" si="17"/>
        <v>0.88519505770841389</v>
      </c>
      <c r="T155" s="42">
        <f t="shared" ca="1" si="14"/>
        <v>5.1744810956335409E-2</v>
      </c>
      <c r="U155" s="128">
        <f t="shared" ca="1" si="15"/>
        <v>3.2338899683866384</v>
      </c>
      <c r="V155" s="8">
        <f t="shared" ca="1" si="16"/>
        <v>2.8626234171886713</v>
      </c>
    </row>
    <row r="156" spans="13:22" x14ac:dyDescent="0.2">
      <c r="M156" s="8">
        <v>91</v>
      </c>
      <c r="N156" s="8">
        <f t="shared" ca="1" si="18"/>
        <v>5</v>
      </c>
      <c r="O156" s="127">
        <f t="shared" ca="1" si="10"/>
        <v>2.8500000000000001E-2</v>
      </c>
      <c r="P156" s="127">
        <f t="shared" ca="1" si="11"/>
        <v>4.0279266836314297E-2</v>
      </c>
      <c r="Q156" s="127">
        <f t="shared" ca="1" si="12"/>
        <v>3.7444799910795884E-2</v>
      </c>
      <c r="R156" s="127">
        <f t="shared" ca="1" si="13"/>
        <v>3.6997252501503507E-2</v>
      </c>
      <c r="S156" s="8">
        <f t="shared" ca="1" si="17"/>
        <v>0.90090866264650871</v>
      </c>
      <c r="T156" s="42">
        <f t="shared" ca="1" si="14"/>
        <v>3.5805329812153425E-2</v>
      </c>
      <c r="U156" s="128">
        <f t="shared" ca="1" si="15"/>
        <v>4.3002747498496499</v>
      </c>
      <c r="V156" s="8">
        <f t="shared" ca="1" si="16"/>
        <v>3.8741547738995976</v>
      </c>
    </row>
    <row r="157" spans="13:22" x14ac:dyDescent="0.2">
      <c r="M157" s="8">
        <v>92</v>
      </c>
      <c r="N157" s="8">
        <f t="shared" ca="1" si="18"/>
        <v>2</v>
      </c>
      <c r="O157" s="127">
        <f t="shared" ca="1" si="10"/>
        <v>2.8500000000000001E-2</v>
      </c>
      <c r="P157" s="127">
        <f t="shared" ca="1" si="11"/>
        <v>4.0279266836314297E-2</v>
      </c>
      <c r="Q157" s="127">
        <f t="shared" ca="1" si="12"/>
        <v>5.5861077305160947E-2</v>
      </c>
      <c r="R157" s="127">
        <f t="shared" ca="1" si="13"/>
        <v>5.51934150266132E-2</v>
      </c>
      <c r="S157" s="8">
        <f t="shared" ca="1" si="17"/>
        <v>0.88519505770841389</v>
      </c>
      <c r="T157" s="42">
        <f t="shared" ca="1" si="14"/>
        <v>4.495843979202211E-2</v>
      </c>
      <c r="U157" s="128">
        <f t="shared" ca="1" si="15"/>
        <v>3</v>
      </c>
      <c r="V157" s="8">
        <f t="shared" ca="1" si="16"/>
        <v>2.6555851731252416</v>
      </c>
    </row>
    <row r="158" spans="13:22" x14ac:dyDescent="0.2">
      <c r="M158" s="8">
        <v>93</v>
      </c>
      <c r="N158" s="8">
        <f t="shared" ca="1" si="18"/>
        <v>3</v>
      </c>
      <c r="O158" s="127">
        <f t="shared" ca="1" si="10"/>
        <v>2.8500000000000001E-2</v>
      </c>
      <c r="P158" s="127">
        <f t="shared" ca="1" si="11"/>
        <v>4.0279266836314297E-2</v>
      </c>
      <c r="Q158" s="127">
        <f t="shared" ca="1" si="12"/>
        <v>3.7444799910795884E-2</v>
      </c>
      <c r="R158" s="127">
        <f t="shared" ca="1" si="13"/>
        <v>5.51934150266132E-2</v>
      </c>
      <c r="S158" s="8">
        <f t="shared" ca="1" si="17"/>
        <v>0.90090866264650871</v>
      </c>
      <c r="T158" s="42">
        <f t="shared" ca="1" si="14"/>
        <v>4.0354370443430848E-2</v>
      </c>
      <c r="U158" s="128">
        <f t="shared" ca="1" si="15"/>
        <v>3</v>
      </c>
      <c r="V158" s="8">
        <f t="shared" ca="1" si="16"/>
        <v>2.7027259879395262</v>
      </c>
    </row>
    <row r="159" spans="13:22" x14ac:dyDescent="0.2">
      <c r="M159" s="8">
        <v>94</v>
      </c>
      <c r="N159" s="8">
        <f t="shared" ca="1" si="18"/>
        <v>1</v>
      </c>
      <c r="O159" s="127">
        <f t="shared" ca="1" si="10"/>
        <v>2.8500000000000001E-2</v>
      </c>
      <c r="P159" s="127">
        <f t="shared" ca="1" si="11"/>
        <v>4.0279266836314297E-2</v>
      </c>
      <c r="Q159" s="127">
        <f t="shared" ca="1" si="12"/>
        <v>5.5861077305160947E-2</v>
      </c>
      <c r="R159" s="127">
        <f t="shared" ca="1" si="13"/>
        <v>8.2338899683866387E-2</v>
      </c>
      <c r="S159" s="8">
        <f t="shared" ca="1" si="17"/>
        <v>0.88519505770841389</v>
      </c>
      <c r="T159" s="42">
        <f t="shared" ca="1" si="14"/>
        <v>5.1744810956335409E-2</v>
      </c>
      <c r="U159" s="128">
        <f t="shared" ca="1" si="15"/>
        <v>3.2338899683866384</v>
      </c>
      <c r="V159" s="8">
        <f t="shared" ca="1" si="16"/>
        <v>2.8626234171886713</v>
      </c>
    </row>
    <row r="160" spans="13:22" x14ac:dyDescent="0.2">
      <c r="M160" s="8">
        <v>95</v>
      </c>
      <c r="N160" s="8">
        <f t="shared" ca="1" si="18"/>
        <v>4</v>
      </c>
      <c r="O160" s="127">
        <f t="shared" ca="1" si="10"/>
        <v>2.8500000000000001E-2</v>
      </c>
      <c r="P160" s="127">
        <f t="shared" ca="1" si="11"/>
        <v>2.7E-2</v>
      </c>
      <c r="Q160" s="127">
        <f t="shared" ca="1" si="12"/>
        <v>3.7444799910795884E-2</v>
      </c>
      <c r="R160" s="127">
        <f t="shared" ca="1" si="13"/>
        <v>5.51934150266132E-2</v>
      </c>
      <c r="S160" s="8">
        <f t="shared" ca="1" si="17"/>
        <v>0.91255754923504817</v>
      </c>
      <c r="T160" s="42">
        <f t="shared" ca="1" si="14"/>
        <v>3.7034553734352271E-2</v>
      </c>
      <c r="U160" s="128">
        <f t="shared" ca="1" si="15"/>
        <v>3</v>
      </c>
      <c r="V160" s="8">
        <f t="shared" ca="1" si="16"/>
        <v>2.7376726477051445</v>
      </c>
    </row>
    <row r="161" spans="13:22" x14ac:dyDescent="0.2">
      <c r="M161" s="8">
        <v>96</v>
      </c>
      <c r="N161" s="8">
        <f t="shared" ca="1" si="18"/>
        <v>4</v>
      </c>
      <c r="O161" s="127">
        <f t="shared" ca="1" si="10"/>
        <v>2.8500000000000001E-2</v>
      </c>
      <c r="P161" s="127">
        <f t="shared" ca="1" si="11"/>
        <v>2.7E-2</v>
      </c>
      <c r="Q161" s="127">
        <f t="shared" ca="1" si="12"/>
        <v>3.7444799910795884E-2</v>
      </c>
      <c r="R161" s="127">
        <f t="shared" ca="1" si="13"/>
        <v>5.51934150266132E-2</v>
      </c>
      <c r="S161" s="8">
        <f t="shared" ca="1" si="17"/>
        <v>0.91255754923504817</v>
      </c>
      <c r="T161" s="42">
        <f t="shared" ca="1" si="14"/>
        <v>3.7034553734352271E-2</v>
      </c>
      <c r="U161" s="128">
        <f t="shared" ca="1" si="15"/>
        <v>3</v>
      </c>
      <c r="V161" s="8">
        <f t="shared" ca="1" si="16"/>
        <v>2.7376726477051445</v>
      </c>
    </row>
    <row r="162" spans="13:22" x14ac:dyDescent="0.2">
      <c r="M162" s="8">
        <v>97</v>
      </c>
      <c r="N162" s="8">
        <f t="shared" ca="1" si="18"/>
        <v>1</v>
      </c>
      <c r="O162" s="127">
        <f t="shared" ca="1" si="10"/>
        <v>2.8500000000000001E-2</v>
      </c>
      <c r="P162" s="127">
        <f t="shared" ca="1" si="11"/>
        <v>4.0279266836314297E-2</v>
      </c>
      <c r="Q162" s="127">
        <f t="shared" ca="1" si="12"/>
        <v>5.5861077305160947E-2</v>
      </c>
      <c r="R162" s="127">
        <f t="shared" ca="1" si="13"/>
        <v>8.2338899683866387E-2</v>
      </c>
      <c r="S162" s="8">
        <f t="shared" ca="1" si="17"/>
        <v>0.88519505770841389</v>
      </c>
      <c r="T162" s="42">
        <f t="shared" ca="1" si="14"/>
        <v>5.1744810956335409E-2</v>
      </c>
      <c r="U162" s="128">
        <f t="shared" ca="1" si="15"/>
        <v>3.2338899683866384</v>
      </c>
      <c r="V162" s="8">
        <f t="shared" ca="1" si="16"/>
        <v>2.8626234171886713</v>
      </c>
    </row>
    <row r="163" spans="13:22" x14ac:dyDescent="0.2">
      <c r="M163" s="8">
        <v>98</v>
      </c>
      <c r="N163" s="8">
        <f t="shared" ca="1" si="18"/>
        <v>7</v>
      </c>
      <c r="O163" s="127">
        <f t="shared" ca="1" si="10"/>
        <v>2.8500000000000001E-2</v>
      </c>
      <c r="P163" s="127">
        <f t="shared" ca="1" si="11"/>
        <v>2.7E-2</v>
      </c>
      <c r="Q163" s="127">
        <f t="shared" ca="1" si="12"/>
        <v>2.5100000000000001E-2</v>
      </c>
      <c r="R163" s="127">
        <f t="shared" ca="1" si="13"/>
        <v>3.6997252501503507E-2</v>
      </c>
      <c r="S163" s="8">
        <f t="shared" ca="1" si="17"/>
        <v>0.92354705304188955</v>
      </c>
      <c r="T163" s="42">
        <f t="shared" ca="1" si="14"/>
        <v>2.939931312537588E-2</v>
      </c>
      <c r="U163" s="128">
        <f t="shared" ca="1" si="15"/>
        <v>4.3002747498496499</v>
      </c>
      <c r="V163" s="8">
        <f t="shared" ca="1" si="16"/>
        <v>3.9715060724940927</v>
      </c>
    </row>
    <row r="164" spans="13:22" x14ac:dyDescent="0.2">
      <c r="M164" s="8">
        <v>99</v>
      </c>
      <c r="N164" s="8">
        <f t="shared" ca="1" si="18"/>
        <v>2</v>
      </c>
      <c r="O164" s="127">
        <f t="shared" ca="1" si="10"/>
        <v>2.8500000000000001E-2</v>
      </c>
      <c r="P164" s="127">
        <f t="shared" ca="1" si="11"/>
        <v>4.0279266836314297E-2</v>
      </c>
      <c r="Q164" s="127">
        <f t="shared" ca="1" si="12"/>
        <v>5.5861077305160947E-2</v>
      </c>
      <c r="R164" s="127">
        <f t="shared" ca="1" si="13"/>
        <v>5.51934150266132E-2</v>
      </c>
      <c r="S164" s="8">
        <f t="shared" ca="1" si="17"/>
        <v>0.88519505770841389</v>
      </c>
      <c r="T164" s="42">
        <f t="shared" ca="1" si="14"/>
        <v>4.495843979202211E-2</v>
      </c>
      <c r="U164" s="128">
        <f t="shared" ca="1" si="15"/>
        <v>3</v>
      </c>
      <c r="V164" s="8">
        <f t="shared" ca="1" si="16"/>
        <v>2.6555851731252416</v>
      </c>
    </row>
    <row r="165" spans="13:22" x14ac:dyDescent="0.2">
      <c r="M165" s="8">
        <v>100</v>
      </c>
      <c r="N165" s="8">
        <f t="shared" ca="1" si="18"/>
        <v>6</v>
      </c>
      <c r="O165" s="127">
        <f t="shared" ca="1" si="10"/>
        <v>2.8500000000000001E-2</v>
      </c>
      <c r="P165" s="127">
        <f t="shared" ca="1" si="11"/>
        <v>2.7E-2</v>
      </c>
      <c r="Q165" s="127">
        <f t="shared" ca="1" si="12"/>
        <v>3.7444799910795884E-2</v>
      </c>
      <c r="R165" s="127">
        <f t="shared" ca="1" si="13"/>
        <v>3.6997252501503507E-2</v>
      </c>
      <c r="S165" s="8">
        <f t="shared" ca="1" si="17"/>
        <v>0.91255754923504817</v>
      </c>
      <c r="T165" s="42">
        <f t="shared" ca="1" si="14"/>
        <v>3.2485513103074848E-2</v>
      </c>
      <c r="U165" s="128">
        <f t="shared" ca="1" si="15"/>
        <v>4.3002747498496499</v>
      </c>
      <c r="V165" s="8">
        <f t="shared" ca="1" si="16"/>
        <v>3.9242481867601562</v>
      </c>
    </row>
  </sheetData>
  <mergeCells count="1">
    <mergeCell ref="B6:C6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German Picon</dc:creator>
  <cp:lastModifiedBy>Juan German Picon</cp:lastModifiedBy>
  <dcterms:created xsi:type="dcterms:W3CDTF">2025-12-01T01:50:55Z</dcterms:created>
  <dcterms:modified xsi:type="dcterms:W3CDTF">2025-12-07T16:14:22Z</dcterms:modified>
</cp:coreProperties>
</file>